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530"/>
  <workbookPr codeName="ThisWorkbook"/>
  <mc:AlternateContent xmlns:mc="http://schemas.openxmlformats.org/markup-compatibility/2006">
    <mc:Choice Requires="x15">
      <x15ac:absPath xmlns:x15ac="http://schemas.microsoft.com/office/spreadsheetml/2010/11/ac" url="E:\Documents\TMU\Vix,LV,Barria\"/>
    </mc:Choice>
  </mc:AlternateContent>
  <xr:revisionPtr revIDLastSave="0" documentId="13_ncr:1_{598420D0-7D44-474C-90BC-689E68A4B856}" xr6:coauthVersionLast="47" xr6:coauthVersionMax="47" xr10:uidLastSave="{00000000-0000-0000-0000-000000000000}"/>
  <bookViews>
    <workbookView xWindow="40670" yWindow="0" windowWidth="29780" windowHeight="19150" xr2:uid="{00000000-000D-0000-FFFF-FFFF00000000}"/>
  </bookViews>
  <sheets>
    <sheet name="1.2" sheetId="3" r:id="rId1"/>
    <sheet name="1.4" sheetId="13" r:id="rId2"/>
    <sheet name="1.6" sheetId="6" r:id="rId3"/>
    <sheet name="1.10" sheetId="2" r:id="rId4"/>
    <sheet name="1.11" sheetId="1" r:id="rId5"/>
  </sheets>
  <definedNames>
    <definedName name="alpha">#REF!</definedName>
    <definedName name="b">#REF!</definedName>
    <definedName name="Beta">#REF!</definedName>
    <definedName name="dt">#REF!</definedName>
    <definedName name="gamma">#REF!</definedName>
    <definedName name="I">#REF!</definedName>
    <definedName name="kappa">#REF!</definedName>
    <definedName name="Kurt">#REF!</definedName>
    <definedName name="r_">#REF!</definedName>
    <definedName name="S">#REF!</definedName>
    <definedName name="T">#REF!</definedName>
    <definedName name="t1_">#REF!</definedName>
    <definedName name="Theta">#REF!</definedName>
    <definedName name="V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5" i="13" l="1"/>
  <c r="D5" i="13"/>
  <c r="C5" i="13"/>
  <c r="B5" i="13"/>
  <c r="B6" i="13" s="1"/>
  <c r="B11" i="6"/>
  <c r="D6" i="13" l="1"/>
  <c r="B10" i="13" s="1"/>
  <c r="C6" i="13"/>
  <c r="B9" i="13" s="1"/>
  <c r="C9" i="13"/>
  <c r="F9" i="13"/>
  <c r="B2" i="6" l="1"/>
  <c r="B3" i="6" s="1"/>
  <c r="B5" i="6"/>
  <c r="B6" i="6"/>
  <c r="B7" i="6" s="1"/>
  <c r="B8" i="6" l="1"/>
  <c r="B12" i="6" s="1"/>
  <c r="L17" i="1"/>
  <c r="L16" i="1"/>
  <c r="L24" i="1"/>
  <c r="L6" i="1"/>
  <c r="L7" i="1"/>
  <c r="L8" i="1"/>
  <c r="L9" i="1"/>
  <c r="L10" i="1"/>
  <c r="L11" i="1"/>
  <c r="L12" i="1"/>
  <c r="L13" i="1"/>
  <c r="L14" i="1"/>
  <c r="L15" i="1"/>
  <c r="L18" i="1"/>
  <c r="L19" i="1"/>
  <c r="L20" i="1"/>
  <c r="L21" i="1"/>
  <c r="L23" i="1"/>
  <c r="L22" i="1"/>
  <c r="M8" i="1" l="1"/>
  <c r="M6" i="1"/>
  <c r="M16" i="1"/>
  <c r="M12" i="1"/>
  <c r="M17" i="1"/>
  <c r="M21" i="1"/>
  <c r="M10" i="1"/>
  <c r="M23" i="1"/>
  <c r="M19" i="1"/>
  <c r="M14" i="1"/>
  <c r="M7" i="1"/>
  <c r="M24" i="1"/>
  <c r="M22" i="1"/>
  <c r="M20" i="1"/>
  <c r="M18" i="1"/>
  <c r="M15" i="1"/>
  <c r="M13" i="1"/>
  <c r="M11" i="1"/>
  <c r="M9" i="1"/>
  <c r="C3" i="3"/>
  <c r="L3" i="3" s="1"/>
  <c r="C4" i="3"/>
  <c r="L4" i="3" s="1"/>
  <c r="M4" i="3" s="1"/>
  <c r="C5" i="3"/>
  <c r="E5" i="3" s="1"/>
  <c r="F5" i="3"/>
  <c r="C6" i="3"/>
  <c r="L6" i="3" s="1"/>
  <c r="C7" i="3"/>
  <c r="E7" i="3" s="1"/>
  <c r="C8" i="3"/>
  <c r="L8" i="3" s="1"/>
  <c r="E8" i="3"/>
  <c r="L5" i="3" l="1"/>
  <c r="M6" i="3" s="1"/>
  <c r="H8" i="3"/>
  <c r="L7" i="3"/>
  <c r="M7" i="3" s="1"/>
  <c r="F7" i="3"/>
  <c r="I7" i="3" s="1"/>
  <c r="F6" i="3"/>
  <c r="I6" i="3" s="1"/>
  <c r="F8" i="3"/>
  <c r="I8" i="3" s="1"/>
  <c r="J8" i="3" s="1"/>
  <c r="E6" i="3"/>
  <c r="H6" i="3" s="1"/>
  <c r="H7" i="3"/>
  <c r="M8" i="3"/>
  <c r="F4" i="3"/>
  <c r="I5" i="3" s="1"/>
  <c r="E4" i="3"/>
  <c r="H5" i="3" s="1"/>
  <c r="F3" i="3"/>
  <c r="M5" i="1"/>
  <c r="E3" i="3"/>
  <c r="J6" i="3" l="1"/>
  <c r="I4" i="3"/>
  <c r="M5" i="3"/>
  <c r="J7" i="3"/>
  <c r="H4" i="3"/>
  <c r="J5" i="3"/>
  <c r="J4" i="3"/>
  <c r="B2" i="2"/>
  <c r="C2" i="2"/>
  <c r="B3" i="2"/>
  <c r="C3" i="2"/>
  <c r="B4" i="2"/>
  <c r="C4" i="2"/>
  <c r="B5" i="2"/>
  <c r="C5" i="2"/>
  <c r="B6" i="2"/>
  <c r="C6" i="2"/>
  <c r="B7" i="2"/>
  <c r="C7" i="2"/>
  <c r="B8" i="2"/>
  <c r="C8" i="2"/>
  <c r="B9" i="2"/>
  <c r="C9" i="2"/>
  <c r="B10" i="2"/>
  <c r="C10" i="2"/>
  <c r="B11" i="2"/>
  <c r="C11" i="2"/>
  <c r="B12" i="2"/>
  <c r="C12" i="2"/>
  <c r="B13" i="2"/>
  <c r="C13" i="2"/>
  <c r="B14" i="2"/>
  <c r="C14" i="2"/>
  <c r="B15" i="2"/>
  <c r="C15" i="2"/>
  <c r="B16" i="2"/>
  <c r="D16" i="2" s="1"/>
  <c r="C16" i="2"/>
  <c r="B17" i="2"/>
  <c r="C17" i="2"/>
  <c r="B18" i="2"/>
  <c r="C18" i="2"/>
  <c r="B19" i="2"/>
  <c r="C19" i="2"/>
  <c r="B20" i="2"/>
  <c r="C20" i="2"/>
  <c r="B21" i="2"/>
  <c r="C21" i="2"/>
  <c r="B22" i="2"/>
  <c r="C22" i="2"/>
  <c r="I13" i="1"/>
  <c r="D21" i="2" l="1"/>
  <c r="D2" i="2"/>
  <c r="D13" i="2"/>
  <c r="D6" i="2"/>
  <c r="D22" i="2"/>
  <c r="D17" i="2"/>
  <c r="D18" i="2"/>
  <c r="D14" i="2"/>
  <c r="D9" i="2"/>
  <c r="D5" i="2"/>
  <c r="D8" i="2"/>
  <c r="D4" i="2"/>
  <c r="D11" i="2"/>
  <c r="D10" i="2"/>
  <c r="D7" i="2"/>
  <c r="D3" i="2"/>
  <c r="D12" i="2"/>
  <c r="D19" i="2"/>
  <c r="D15" i="2"/>
  <c r="D20" i="2"/>
  <c r="F2" i="1"/>
  <c r="D25" i="1"/>
  <c r="D5" i="1"/>
  <c r="D6" i="1"/>
  <c r="D7" i="1"/>
  <c r="D8" i="1"/>
  <c r="D9" i="1"/>
  <c r="D10" i="1"/>
  <c r="D11" i="1"/>
  <c r="D12" i="1"/>
  <c r="D13" i="1"/>
  <c r="D14" i="1"/>
  <c r="D16" i="1"/>
  <c r="D17" i="1"/>
  <c r="D18" i="1"/>
  <c r="D19" i="1"/>
  <c r="D20" i="1"/>
  <c r="D21" i="1"/>
  <c r="D22" i="1"/>
  <c r="D23" i="1"/>
  <c r="D24" i="1"/>
  <c r="D15" i="1"/>
  <c r="I10" i="1"/>
  <c r="I17" i="1"/>
  <c r="J26" i="1" l="1"/>
  <c r="L26" i="1"/>
  <c r="F17" i="1"/>
  <c r="F18" i="1" s="1"/>
  <c r="F16" i="1"/>
  <c r="F15" i="1" s="1"/>
  <c r="I16" i="1"/>
  <c r="I15" i="1"/>
  <c r="I12" i="1"/>
  <c r="I14" i="1"/>
  <c r="I6" i="1"/>
  <c r="I11" i="1"/>
  <c r="I9" i="1"/>
  <c r="I7" i="1"/>
  <c r="I8" i="1"/>
  <c r="F19" i="1" l="1"/>
  <c r="F20" i="1" s="1"/>
  <c r="F21" i="1" s="1"/>
  <c r="F14" i="1"/>
  <c r="J16" i="1"/>
  <c r="J15" i="1"/>
  <c r="I19" i="1"/>
  <c r="I22" i="1"/>
  <c r="I21" i="1"/>
  <c r="I24" i="1"/>
  <c r="I20" i="1"/>
  <c r="I23" i="1"/>
  <c r="I18" i="1"/>
  <c r="L25" i="1" l="1"/>
  <c r="L27" i="1" s="1"/>
  <c r="F22" i="1"/>
  <c r="F23" i="1" s="1"/>
  <c r="F24" i="1" s="1"/>
  <c r="F13" i="1"/>
  <c r="J14" i="1"/>
  <c r="J17" i="1"/>
  <c r="F12" i="1" l="1"/>
  <c r="J13" i="1"/>
  <c r="F11" i="1" l="1"/>
  <c r="J12" i="1"/>
  <c r="J18" i="1"/>
  <c r="F10" i="1" l="1"/>
  <c r="J11" i="1"/>
  <c r="J19" i="1"/>
  <c r="F9" i="1" l="1"/>
  <c r="J10" i="1"/>
  <c r="J20" i="1"/>
  <c r="F8" i="1" l="1"/>
  <c r="J9" i="1"/>
  <c r="J21" i="1"/>
  <c r="F7" i="1" l="1"/>
  <c r="J8" i="1"/>
  <c r="J22" i="1"/>
  <c r="J23" i="1" l="1"/>
  <c r="F6" i="1"/>
  <c r="J7" i="1"/>
  <c r="G23" i="1" l="1"/>
  <c r="J24" i="1"/>
  <c r="G24" i="1"/>
  <c r="G7" i="1"/>
  <c r="G6" i="1"/>
  <c r="G16" i="1"/>
  <c r="G17" i="1"/>
  <c r="G15" i="1"/>
  <c r="J6" i="1"/>
  <c r="G14" i="1"/>
  <c r="G13" i="1"/>
  <c r="G18" i="1"/>
  <c r="G12" i="1"/>
  <c r="G19" i="1"/>
  <c r="G11" i="1"/>
  <c r="G20" i="1"/>
  <c r="G10" i="1"/>
  <c r="G21" i="1"/>
  <c r="G9" i="1"/>
  <c r="G22" i="1"/>
  <c r="G8" i="1"/>
  <c r="J25" i="1" l="1"/>
  <c r="J27" i="1" s="1"/>
  <c r="G5" i="1"/>
</calcChain>
</file>

<file path=xl/sharedStrings.xml><?xml version="1.0" encoding="utf-8"?>
<sst xmlns="http://schemas.openxmlformats.org/spreadsheetml/2006/main" count="90" uniqueCount="86">
  <si>
    <r>
      <t>f(S</t>
    </r>
    <r>
      <rPr>
        <sz val="8"/>
        <color theme="1"/>
        <rFont val="Arial Unicode MS"/>
        <family val="3"/>
        <charset val="128"/>
      </rPr>
      <t>T</t>
    </r>
    <r>
      <rPr>
        <sz val="10"/>
        <color theme="1"/>
        <rFont val="Arial Unicode MS"/>
        <family val="2"/>
        <charset val="128"/>
      </rPr>
      <t>)</t>
    </r>
    <phoneticPr fontId="4"/>
  </si>
  <si>
    <t>(%)</t>
    <phoneticPr fontId="4"/>
  </si>
  <si>
    <t>exp(RT)</t>
    <phoneticPr fontId="4"/>
  </si>
  <si>
    <t>株価</t>
    <rPh sb="0" eb="2">
      <t>カブカ</t>
    </rPh>
    <phoneticPr fontId="4"/>
  </si>
  <si>
    <t>年数</t>
    <rPh sb="0" eb="2">
      <t>ネンスウ</t>
    </rPh>
    <phoneticPr fontId="4"/>
  </si>
  <si>
    <t>利率</t>
    <rPh sb="0" eb="2">
      <t>リリツ</t>
    </rPh>
    <phoneticPr fontId="4"/>
  </si>
  <si>
    <t>配当</t>
    <rPh sb="0" eb="2">
      <t>ハイトウ</t>
    </rPh>
    <phoneticPr fontId="4"/>
  </si>
  <si>
    <t>行使</t>
    <rPh sb="0" eb="2">
      <t>コウシ</t>
    </rPh>
    <phoneticPr fontId="4"/>
  </si>
  <si>
    <t>ｵﾌﾟｼｮﾝ</t>
    <phoneticPr fontId="4"/>
  </si>
  <si>
    <t>価格</t>
    <rPh sb="0" eb="2">
      <t>カカク</t>
    </rPh>
    <phoneticPr fontId="4"/>
  </si>
  <si>
    <t>ﾎﾞﾗﾃｨﾘﾃｨ</t>
    <phoneticPr fontId="4"/>
  </si>
  <si>
    <t>ｳｴｲﾄ x</t>
    <phoneticPr fontId="4"/>
  </si>
  <si>
    <t>2/T *
(B+C)</t>
  </si>
  <si>
    <r>
      <t>S</t>
    </r>
    <r>
      <rPr>
        <sz val="8"/>
        <color theme="1"/>
        <rFont val="Arial Unicode MS"/>
        <family val="3"/>
        <charset val="128"/>
      </rPr>
      <t>T</t>
    </r>
  </si>
  <si>
    <t>(ST-100)
/100</t>
  </si>
  <si>
    <t>-LN(ST 
/100 )</t>
  </si>
  <si>
    <t>Dec</t>
    <phoneticPr fontId="3"/>
  </si>
  <si>
    <t>Sep</t>
    <phoneticPr fontId="3"/>
  </si>
  <si>
    <t xml:space="preserve">     (以下同じ)</t>
    <rPh sb="6" eb="8">
      <t>イカ</t>
    </rPh>
    <rPh sb="8" eb="9">
      <t>オナ</t>
    </rPh>
    <phoneticPr fontId="3"/>
  </si>
  <si>
    <t>Jun</t>
    <phoneticPr fontId="3"/>
  </si>
  <si>
    <t>Apr</t>
    <phoneticPr fontId="3"/>
  </si>
  <si>
    <t>Mar</t>
    <phoneticPr fontId="3"/>
  </si>
  <si>
    <t>Feb</t>
    <phoneticPr fontId="3"/>
  </si>
  <si>
    <t xml:space="preserve">     (M列 数式)</t>
    <rPh sb="7" eb="8">
      <t>レツ</t>
    </rPh>
    <rPh sb="9" eb="11">
      <t>スウシキ</t>
    </rPh>
    <phoneticPr fontId="3"/>
  </si>
  <si>
    <t>Vol</t>
    <phoneticPr fontId="3"/>
  </si>
  <si>
    <t>σ^2 x T</t>
    <phoneticPr fontId="3"/>
  </si>
  <si>
    <t>Vega</t>
    <phoneticPr fontId="3"/>
  </si>
  <si>
    <t>価格</t>
    <rPh sb="0" eb="2">
      <t>カカク</t>
    </rPh>
    <phoneticPr fontId="3"/>
  </si>
  <si>
    <t>Call価格</t>
    <rPh sb="4" eb="6">
      <t>カカク</t>
    </rPh>
    <phoneticPr fontId="3"/>
  </si>
  <si>
    <t>(S=100)</t>
    <phoneticPr fontId="3"/>
  </si>
  <si>
    <t>年(T)</t>
    <rPh sb="0" eb="1">
      <t>トシ</t>
    </rPh>
    <phoneticPr fontId="3"/>
  </si>
  <si>
    <t>日数</t>
    <rPh sb="0" eb="2">
      <t>ニッスウ</t>
    </rPh>
    <phoneticPr fontId="3"/>
  </si>
  <si>
    <t>限月</t>
    <rPh sb="0" eb="1">
      <t>ゲン</t>
    </rPh>
    <rPh sb="1" eb="2">
      <t>ゲツ</t>
    </rPh>
    <phoneticPr fontId="3"/>
  </si>
  <si>
    <t>ﾌｫﾜｰﾄﾞ</t>
    <phoneticPr fontId="3"/>
  </si>
  <si>
    <t>Variance</t>
    <phoneticPr fontId="3"/>
  </si>
  <si>
    <t>ｺｰﾙ ｽﾌﾟﾚｯﾄﾞ</t>
    <phoneticPr fontId="3"/>
  </si>
  <si>
    <t>ATM</t>
    <phoneticPr fontId="3"/>
  </si>
  <si>
    <t>σ x S</t>
    <phoneticPr fontId="3"/>
  </si>
  <si>
    <t>満期</t>
    <rPh sb="0" eb="2">
      <t>マンキ</t>
    </rPh>
    <phoneticPr fontId="3"/>
  </si>
  <si>
    <t>ΔK/K^2</t>
    <phoneticPr fontId="4"/>
  </si>
  <si>
    <r>
      <rPr>
        <sz val="10"/>
        <color theme="1"/>
        <rFont val="Arial Unicode MS"/>
        <family val="2"/>
        <charset val="128"/>
      </rPr>
      <t>K</t>
    </r>
    <r>
      <rPr>
        <sz val="8"/>
        <color theme="1"/>
        <rFont val="Arial Unicode MS"/>
        <family val="3"/>
        <charset val="128"/>
      </rPr>
      <t>varの平方根</t>
    </r>
    <rPh sb="5" eb="8">
      <t>ヘイホウコン</t>
    </rPh>
    <phoneticPr fontId="4"/>
  </si>
  <si>
    <t>SUM(J6:J24)*F2=</t>
    <phoneticPr fontId="4"/>
  </si>
  <si>
    <t>2/C2*(D2*C2-(B2*F2-B2)/B2+LN(B2/B2)=</t>
    <phoneticPr fontId="4"/>
  </si>
  <si>
    <t>=(B2*F2/B2-1)^2/C2</t>
    <phoneticPr fontId="4"/>
  </si>
  <si>
    <t>VIX方式</t>
    <rPh sb="3" eb="4">
      <t>ホウ</t>
    </rPh>
    <rPh sb="4" eb="5">
      <t>シキ</t>
    </rPh>
    <phoneticPr fontId="4"/>
  </si>
  <si>
    <t>ｳｴｲﾄ W(K)</t>
    <phoneticPr fontId="4"/>
  </si>
  <si>
    <t>=2/C2*F2*sumProduct(.)</t>
    <phoneticPr fontId="4"/>
  </si>
  <si>
    <t>(J26+J25)^.5=</t>
    <phoneticPr fontId="4"/>
  </si>
  <si>
    <t>=(L25-L26)^.5</t>
    <phoneticPr fontId="4"/>
  </si>
  <si>
    <t>(FxI列)</t>
    <rPh sb="4" eb="5">
      <t>レツ</t>
    </rPh>
    <phoneticPr fontId="4"/>
  </si>
  <si>
    <t>=( (L4-L3)/(C4-C3) )^.5</t>
  </si>
  <si>
    <t>=( (L5-L4)/(C5-C4) )^.5</t>
  </si>
  <si>
    <t>=B3*B7</t>
  </si>
  <si>
    <t>=B5-B6</t>
  </si>
  <si>
    <t>VS Rate^2 - Strike^2</t>
  </si>
  <si>
    <t>=18.279^2</t>
  </si>
  <si>
    <t>Strike ^ 2</t>
  </si>
  <si>
    <t>=17.279^2</t>
  </si>
  <si>
    <t>VS Rate ^ 2</t>
  </si>
  <si>
    <t>VS Rate</t>
  </si>
  <si>
    <t>=100000/B2</t>
  </si>
  <si>
    <t>Variance Notional</t>
  </si>
  <si>
    <t xml:space="preserve">= 18.279*2 </t>
  </si>
  <si>
    <t>Strike x 2</t>
  </si>
  <si>
    <t>Strike</t>
  </si>
  <si>
    <t>DF</t>
    <phoneticPr fontId="4"/>
  </si>
  <si>
    <t>RF rate</t>
    <phoneticPr fontId="4"/>
  </si>
  <si>
    <t>=1/(1+B11*89/365)</t>
    <phoneticPr fontId="4"/>
  </si>
  <si>
    <t>=B8*B12</t>
    <phoneticPr fontId="4"/>
  </si>
  <si>
    <t>Payoff at Maturity</t>
    <phoneticPr fontId="4"/>
  </si>
  <si>
    <t>Price</t>
    <phoneticPr fontId="4"/>
  </si>
  <si>
    <t>σ</t>
    <phoneticPr fontId="4"/>
  </si>
  <si>
    <t>σ^2 xT</t>
    <phoneticPr fontId="4"/>
  </si>
  <si>
    <r>
      <rPr>
        <sz val="11"/>
        <color theme="1"/>
        <rFont val="Arial Unicode MS"/>
        <family val="2"/>
        <charset val="128"/>
      </rPr>
      <t>満期</t>
    </r>
    <r>
      <rPr>
        <sz val="11"/>
        <color theme="1"/>
        <rFont val="Arial"/>
        <family val="2"/>
      </rPr>
      <t>(</t>
    </r>
    <r>
      <rPr>
        <sz val="11"/>
        <color theme="1"/>
        <rFont val="Arial Unicode MS"/>
        <family val="2"/>
        <charset val="128"/>
      </rPr>
      <t>月数</t>
    </r>
    <r>
      <rPr>
        <sz val="11"/>
        <color theme="1"/>
        <rFont val="Arial"/>
        <family val="2"/>
      </rPr>
      <t>)</t>
    </r>
    <rPh sb="0" eb="2">
      <t>マンキ</t>
    </rPh>
    <rPh sb="3" eb="5">
      <t>ツキスウ</t>
    </rPh>
    <phoneticPr fontId="4"/>
  </si>
  <si>
    <r>
      <rPr>
        <sz val="11"/>
        <color theme="1"/>
        <rFont val="Arial Unicode MS"/>
        <family val="2"/>
        <charset val="128"/>
      </rPr>
      <t>ボラティリティ</t>
    </r>
    <phoneticPr fontId="4"/>
  </si>
  <si>
    <r>
      <rPr>
        <sz val="11"/>
        <color theme="1"/>
        <rFont val="Arial Unicode MS"/>
        <family val="2"/>
        <charset val="128"/>
      </rPr>
      <t>バリアンス</t>
    </r>
    <phoneticPr fontId="4"/>
  </si>
  <si>
    <r>
      <rPr>
        <sz val="11"/>
        <color theme="1"/>
        <rFont val="Arial Unicode MS"/>
        <family val="2"/>
        <charset val="128"/>
      </rPr>
      <t>差</t>
    </r>
    <rPh sb="0" eb="1">
      <t>サ</t>
    </rPh>
    <phoneticPr fontId="4"/>
  </si>
  <si>
    <r>
      <rPr>
        <sz val="11"/>
        <color theme="1"/>
        <rFont val="Arial Unicode MS"/>
        <family val="2"/>
        <charset val="128"/>
      </rPr>
      <t>フォワードボラティリティ</t>
    </r>
    <phoneticPr fontId="4"/>
  </si>
  <si>
    <r>
      <rPr>
        <sz val="11"/>
        <color theme="1"/>
        <rFont val="Arial Unicode MS"/>
        <family val="2"/>
        <charset val="128"/>
      </rPr>
      <t>フォワード月数</t>
    </r>
    <rPh sb="5" eb="7">
      <t>ツキスウ</t>
    </rPh>
    <phoneticPr fontId="4"/>
  </si>
  <si>
    <t>1x1 :=C6^0.5</t>
    <phoneticPr fontId="4"/>
  </si>
  <si>
    <t>1x2 :=((D5-B5)/2)^0.5</t>
    <phoneticPr fontId="4"/>
  </si>
  <si>
    <t>1x5 :=((G5-B5)/5)^0.5</t>
    <phoneticPr fontId="4"/>
  </si>
  <si>
    <t>2x1 :=D6^0.5</t>
    <phoneticPr fontId="4"/>
  </si>
  <si>
    <t>G5 :=G1*G3^2</t>
    <phoneticPr fontId="4"/>
  </si>
  <si>
    <t>D6 :=D5-C5</t>
    <phoneticPr fontId="4"/>
  </si>
  <si>
    <t>(計算式)</t>
    <rPh sb="1" eb="4">
      <t>ケイサンシキ</t>
    </rPh>
    <phoneticPr fontId="4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</si>
</sst>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3">
    <numFmt numFmtId="176" formatCode="_-* #,##0_-;\-* #,##0_-;_-* &quot;-&quot;_-;_-@_-"/>
    <numFmt numFmtId="177" formatCode="0.000"/>
    <numFmt numFmtId="178" formatCode="0.0%"/>
    <numFmt numFmtId="179" formatCode="0.0"/>
    <numFmt numFmtId="180" formatCode="0.000_ "/>
    <numFmt numFmtId="181" formatCode="0.00_ "/>
    <numFmt numFmtId="182" formatCode="\(0\)"/>
    <numFmt numFmtId="183" formatCode="0.00000"/>
    <numFmt numFmtId="184" formatCode="0.0000"/>
    <numFmt numFmtId="185" formatCode="0.000000"/>
    <numFmt numFmtId="186" formatCode="#,##0.000_ "/>
    <numFmt numFmtId="187" formatCode="0.00000%"/>
    <numFmt numFmtId="188" formatCode="0&quot;M&quot;"/>
  </numFmts>
  <fonts count="12">
    <font>
      <sz val="10"/>
      <color theme="1"/>
      <name val="Arial Unicode MS"/>
      <family val="2"/>
      <charset val="128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0"/>
      <color theme="1"/>
      <name val="Arial Unicode MS"/>
      <family val="2"/>
      <charset val="128"/>
    </font>
    <font>
      <sz val="6"/>
      <name val="Arial Unicode MS"/>
      <family val="2"/>
      <charset val="128"/>
    </font>
    <font>
      <sz val="8"/>
      <color theme="1"/>
      <name val="Arial Unicode MS"/>
      <family val="3"/>
      <charset val="128"/>
    </font>
    <font>
      <sz val="8"/>
      <color theme="1"/>
      <name val="Arial Unicode MS"/>
      <family val="2"/>
      <charset val="128"/>
    </font>
    <font>
      <sz val="10"/>
      <color theme="1"/>
      <name val="Arial Unicode MS"/>
      <family val="3"/>
      <charset val="128"/>
    </font>
    <font>
      <sz val="11"/>
      <name val="ＭＳ Ｐゴシック"/>
      <family val="3"/>
      <charset val="128"/>
    </font>
    <font>
      <sz val="11"/>
      <color theme="1"/>
      <name val="Arial"/>
      <family val="2"/>
    </font>
    <font>
      <sz val="11"/>
      <color theme="1"/>
      <name val="Arial Unicode MS"/>
      <family val="2"/>
      <charset val="128"/>
    </font>
    <font>
      <sz val="9"/>
      <color theme="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 tint="-0.249977111117893"/>
        <bgColor indexed="64"/>
      </patternFill>
    </fill>
  </fills>
  <borders count="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1">
    <xf numFmtId="0" fontId="0" fillId="0" borderId="0">
      <alignment vertical="center"/>
    </xf>
    <xf numFmtId="9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2" fillId="0" borderId="0"/>
    <xf numFmtId="176" fontId="2" fillId="0" borderId="0" applyFont="0" applyFill="0" applyBorder="0" applyAlignment="0" applyProtection="0"/>
    <xf numFmtId="0" fontId="8" fillId="0" borderId="0">
      <alignment vertical="center"/>
    </xf>
    <xf numFmtId="0" fontId="1" fillId="0" borderId="0"/>
    <xf numFmtId="38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0" fontId="3" fillId="0" borderId="0">
      <alignment vertical="center"/>
    </xf>
    <xf numFmtId="9" fontId="3" fillId="0" borderId="0" applyFont="0" applyFill="0" applyBorder="0" applyAlignment="0" applyProtection="0">
      <alignment vertical="center"/>
    </xf>
  </cellStyleXfs>
  <cellXfs count="85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9" fontId="0" fillId="0" borderId="0" xfId="0" applyNumberFormat="1" applyAlignment="1">
      <alignment horizontal="center" vertical="center"/>
    </xf>
    <xf numFmtId="177" fontId="0" fillId="0" borderId="0" xfId="0" applyNumberFormat="1" applyAlignment="1">
      <alignment horizontal="center" vertical="center"/>
    </xf>
    <xf numFmtId="178" fontId="0" fillId="0" borderId="0" xfId="1" applyNumberFormat="1" applyFont="1" applyAlignment="1">
      <alignment horizontal="center" vertical="center"/>
    </xf>
    <xf numFmtId="0" fontId="0" fillId="2" borderId="0" xfId="0" applyFill="1" applyAlignment="1">
      <alignment horizontal="center" vertical="center"/>
    </xf>
    <xf numFmtId="178" fontId="5" fillId="0" borderId="0" xfId="0" applyNumberFormat="1" applyFont="1" applyAlignment="1">
      <alignment horizontal="center" vertical="center"/>
    </xf>
    <xf numFmtId="179" fontId="0" fillId="0" borderId="0" xfId="0" applyNumberFormat="1" applyAlignment="1">
      <alignment horizontal="right" vertical="center"/>
    </xf>
    <xf numFmtId="178" fontId="0" fillId="2" borderId="0" xfId="1" applyNumberFormat="1" applyFont="1" applyFill="1" applyAlignment="1">
      <alignment horizontal="center" vertical="center"/>
    </xf>
    <xf numFmtId="177" fontId="0" fillId="2" borderId="0" xfId="0" applyNumberFormat="1" applyFill="1" applyAlignment="1">
      <alignment horizontal="center" vertical="center"/>
    </xf>
    <xf numFmtId="179" fontId="0" fillId="2" borderId="0" xfId="0" applyNumberFormat="1" applyFill="1" applyAlignment="1">
      <alignment horizontal="right" vertical="center"/>
    </xf>
    <xf numFmtId="0" fontId="0" fillId="0" borderId="1" xfId="0" applyBorder="1" applyAlignment="1">
      <alignment horizontal="center" vertical="center"/>
    </xf>
    <xf numFmtId="179" fontId="0" fillId="2" borderId="1" xfId="0" applyNumberFormat="1" applyFill="1" applyBorder="1" applyAlignment="1">
      <alignment horizontal="right" vertical="center"/>
    </xf>
    <xf numFmtId="0" fontId="6" fillId="0" borderId="0" xfId="0" quotePrefix="1" applyFont="1" applyAlignment="1">
      <alignment horizontal="right" vertical="center"/>
    </xf>
    <xf numFmtId="0" fontId="5" fillId="0" borderId="0" xfId="0" quotePrefix="1" applyFont="1" applyAlignment="1">
      <alignment horizontal="left" vertical="center"/>
    </xf>
    <xf numFmtId="0" fontId="6" fillId="0" borderId="1" xfId="0" applyFont="1" applyBorder="1" applyAlignment="1">
      <alignment horizontal="left" vertical="center"/>
    </xf>
    <xf numFmtId="178" fontId="0" fillId="0" borderId="1" xfId="1" applyNumberFormat="1" applyFont="1" applyBorder="1" applyAlignment="1">
      <alignment horizontal="center" vertical="center"/>
    </xf>
    <xf numFmtId="177" fontId="0" fillId="0" borderId="1" xfId="0" applyNumberFormat="1" applyBorder="1" applyAlignment="1">
      <alignment horizontal="center" vertical="center"/>
    </xf>
    <xf numFmtId="179" fontId="0" fillId="0" borderId="1" xfId="0" applyNumberFormat="1" applyBorder="1" applyAlignment="1">
      <alignment horizontal="right" vertical="center"/>
    </xf>
    <xf numFmtId="0" fontId="0" fillId="0" borderId="0" xfId="0" applyAlignment="1">
      <alignment horizontal="right" vertical="center"/>
    </xf>
    <xf numFmtId="0" fontId="6" fillId="0" borderId="1" xfId="0" applyFont="1" applyBorder="1" applyAlignment="1">
      <alignment horizontal="center" vertical="center"/>
    </xf>
    <xf numFmtId="0" fontId="0" fillId="0" borderId="0" xfId="0" applyAlignment="1">
      <alignment horizontal="center"/>
    </xf>
    <xf numFmtId="0" fontId="3" fillId="0" borderId="0" xfId="2">
      <alignment vertical="center"/>
    </xf>
    <xf numFmtId="0" fontId="3" fillId="0" borderId="1" xfId="2" applyBorder="1" applyAlignment="1">
      <alignment horizontal="center" wrapText="1"/>
    </xf>
    <xf numFmtId="0" fontId="3" fillId="0" borderId="1" xfId="2" applyBorder="1" applyAlignment="1">
      <alignment horizontal="right"/>
    </xf>
    <xf numFmtId="2" fontId="3" fillId="0" borderId="0" xfId="2" applyNumberFormat="1" applyAlignment="1">
      <alignment horizontal="center" vertical="center"/>
    </xf>
    <xf numFmtId="0" fontId="0" fillId="0" borderId="1" xfId="2" applyFont="1" applyBorder="1" applyAlignment="1">
      <alignment horizontal="center" wrapText="1"/>
    </xf>
    <xf numFmtId="0" fontId="0" fillId="0" borderId="1" xfId="2" quotePrefix="1" applyFont="1" applyBorder="1" applyAlignment="1">
      <alignment horizontal="center" wrapText="1"/>
    </xf>
    <xf numFmtId="2" fontId="0" fillId="0" borderId="0" xfId="0" applyNumberFormat="1" applyAlignment="1">
      <alignment horizontal="center" vertical="center"/>
    </xf>
    <xf numFmtId="180" fontId="0" fillId="0" borderId="0" xfId="0" applyNumberFormat="1" applyAlignment="1">
      <alignment horizontal="center" vertical="center"/>
    </xf>
    <xf numFmtId="181" fontId="0" fillId="0" borderId="0" xfId="0" applyNumberFormat="1" applyAlignment="1">
      <alignment horizontal="center" vertical="center"/>
    </xf>
    <xf numFmtId="2" fontId="0" fillId="0" borderId="0" xfId="0" applyNumberFormat="1">
      <alignment vertical="center"/>
    </xf>
    <xf numFmtId="179" fontId="0" fillId="0" borderId="0" xfId="0" applyNumberFormat="1" applyAlignment="1">
      <alignment horizontal="center" vertical="center"/>
    </xf>
    <xf numFmtId="177" fontId="0" fillId="0" borderId="0" xfId="0" applyNumberFormat="1">
      <alignment vertical="center"/>
    </xf>
    <xf numFmtId="0" fontId="0" fillId="0" borderId="0" xfId="0" quotePrefix="1" applyAlignment="1">
      <alignment horizontal="center" vertical="center"/>
    </xf>
    <xf numFmtId="0" fontId="6" fillId="0" borderId="0" xfId="0" applyFont="1">
      <alignment vertical="center"/>
    </xf>
    <xf numFmtId="0" fontId="6" fillId="0" borderId="0" xfId="0" quotePrefix="1" applyFont="1">
      <alignment vertical="center"/>
    </xf>
    <xf numFmtId="16" fontId="0" fillId="0" borderId="0" xfId="0" quotePrefix="1" applyNumberFormat="1" applyAlignment="1">
      <alignment horizontal="center" vertical="center"/>
    </xf>
    <xf numFmtId="0" fontId="0" fillId="0" borderId="1" xfId="0" applyBorder="1" applyAlignment="1">
      <alignment horizontal="center" vertical="top"/>
    </xf>
    <xf numFmtId="0" fontId="0" fillId="0" borderId="1" xfId="0" applyBorder="1">
      <alignment vertical="center"/>
    </xf>
    <xf numFmtId="182" fontId="0" fillId="0" borderId="1" xfId="0" applyNumberFormat="1" applyBorder="1" applyAlignment="1">
      <alignment horizontal="left" vertical="center"/>
    </xf>
    <xf numFmtId="0" fontId="0" fillId="0" borderId="1" xfId="0" applyBorder="1" applyAlignment="1">
      <alignment horizontal="right" vertical="center"/>
    </xf>
    <xf numFmtId="10" fontId="6" fillId="0" borderId="0" xfId="1" applyNumberFormat="1" applyFont="1" applyAlignment="1">
      <alignment horizontal="center" vertical="center"/>
    </xf>
    <xf numFmtId="10" fontId="6" fillId="0" borderId="1" xfId="1" applyNumberFormat="1" applyFont="1" applyBorder="1" applyAlignment="1">
      <alignment horizontal="center" vertical="center"/>
    </xf>
    <xf numFmtId="10" fontId="6" fillId="2" borderId="0" xfId="1" applyNumberFormat="1" applyFont="1" applyFill="1" applyAlignment="1">
      <alignment horizontal="center" vertical="center"/>
    </xf>
    <xf numFmtId="10" fontId="0" fillId="0" borderId="2" xfId="1" applyNumberFormat="1" applyFont="1" applyBorder="1" applyAlignment="1">
      <alignment horizontal="right" vertical="center"/>
    </xf>
    <xf numFmtId="2" fontId="0" fillId="0" borderId="0" xfId="0" applyNumberFormat="1" applyAlignment="1">
      <alignment horizontal="right" vertical="center"/>
    </xf>
    <xf numFmtId="178" fontId="6" fillId="0" borderId="3" xfId="1" applyNumberFormat="1" applyFont="1" applyBorder="1" applyAlignment="1">
      <alignment horizontal="center" vertical="center"/>
    </xf>
    <xf numFmtId="178" fontId="6" fillId="0" borderId="0" xfId="1" applyNumberFormat="1" applyFont="1" applyBorder="1" applyAlignment="1">
      <alignment horizontal="center" vertical="center"/>
    </xf>
    <xf numFmtId="0" fontId="5" fillId="0" borderId="0" xfId="0" quotePrefix="1" applyFont="1" applyAlignment="1">
      <alignment horizontal="right" vertical="center"/>
    </xf>
    <xf numFmtId="10" fontId="6" fillId="0" borderId="0" xfId="1" quotePrefix="1" applyNumberFormat="1" applyFont="1" applyAlignment="1">
      <alignment horizontal="left" vertical="center"/>
    </xf>
    <xf numFmtId="184" fontId="0" fillId="0" borderId="0" xfId="0" applyNumberFormat="1">
      <alignment vertical="center"/>
    </xf>
    <xf numFmtId="10" fontId="6" fillId="2" borderId="1" xfId="1" applyNumberFormat="1" applyFont="1" applyFill="1" applyBorder="1" applyAlignment="1">
      <alignment horizontal="center" vertical="center"/>
    </xf>
    <xf numFmtId="177" fontId="0" fillId="2" borderId="1" xfId="0" applyNumberFormat="1" applyFill="1" applyBorder="1" applyAlignment="1">
      <alignment horizontal="center" vertical="center"/>
    </xf>
    <xf numFmtId="184" fontId="0" fillId="0" borderId="1" xfId="0" applyNumberFormat="1" applyBorder="1">
      <alignment vertical="center"/>
    </xf>
    <xf numFmtId="184" fontId="0" fillId="2" borderId="0" xfId="0" applyNumberFormat="1" applyFill="1">
      <alignment vertical="center"/>
    </xf>
    <xf numFmtId="184" fontId="0" fillId="2" borderId="1" xfId="0" applyNumberFormat="1" applyFill="1" applyBorder="1">
      <alignment vertical="center"/>
    </xf>
    <xf numFmtId="2" fontId="0" fillId="0" borderId="2" xfId="0" applyNumberFormat="1" applyBorder="1" applyAlignment="1">
      <alignment horizontal="right" vertical="center"/>
    </xf>
    <xf numFmtId="183" fontId="0" fillId="0" borderId="0" xfId="0" applyNumberFormat="1">
      <alignment vertical="center"/>
    </xf>
    <xf numFmtId="10" fontId="5" fillId="0" borderId="0" xfId="1" quotePrefix="1" applyNumberFormat="1" applyFont="1" applyAlignment="1">
      <alignment horizontal="left" vertical="center"/>
    </xf>
    <xf numFmtId="0" fontId="6" fillId="0" borderId="1" xfId="0" applyFont="1" applyBorder="1" applyAlignment="1">
      <alignment horizontal="right" vertical="center"/>
    </xf>
    <xf numFmtId="185" fontId="6" fillId="0" borderId="0" xfId="0" applyNumberFormat="1" applyFont="1">
      <alignment vertical="center"/>
    </xf>
    <xf numFmtId="185" fontId="6" fillId="0" borderId="0" xfId="0" applyNumberFormat="1" applyFont="1" applyAlignment="1">
      <alignment horizontal="right" vertical="center"/>
    </xf>
    <xf numFmtId="0" fontId="9" fillId="0" borderId="0" xfId="3" applyFont="1"/>
    <xf numFmtId="0" fontId="9" fillId="0" borderId="0" xfId="3" quotePrefix="1" applyFont="1"/>
    <xf numFmtId="177" fontId="9" fillId="0" borderId="0" xfId="3" quotePrefix="1" applyNumberFormat="1" applyFont="1"/>
    <xf numFmtId="186" fontId="9" fillId="0" borderId="0" xfId="3" applyNumberFormat="1" applyFont="1"/>
    <xf numFmtId="186" fontId="9" fillId="0" borderId="0" xfId="4" applyNumberFormat="1" applyFont="1"/>
    <xf numFmtId="187" fontId="9" fillId="0" borderId="0" xfId="3" applyNumberFormat="1" applyFont="1"/>
    <xf numFmtId="0" fontId="9" fillId="0" borderId="0" xfId="0" applyFont="1" applyAlignment="1">
      <alignment horizontal="center" vertical="center"/>
    </xf>
    <xf numFmtId="188" fontId="9" fillId="0" borderId="1" xfId="0" applyNumberFormat="1" applyFont="1" applyBorder="1" applyAlignment="1">
      <alignment horizontal="center" vertical="center"/>
    </xf>
    <xf numFmtId="0" fontId="9" fillId="0" borderId="0" xfId="0" applyFont="1">
      <alignment vertical="center"/>
    </xf>
    <xf numFmtId="2" fontId="9" fillId="0" borderId="0" xfId="0" applyNumberFormat="1" applyFont="1" applyAlignment="1">
      <alignment horizontal="center" vertical="center"/>
    </xf>
    <xf numFmtId="1" fontId="9" fillId="0" borderId="0" xfId="0" applyNumberFormat="1" applyFont="1" applyAlignment="1">
      <alignment horizontal="center" vertical="center"/>
    </xf>
    <xf numFmtId="188" fontId="9" fillId="0" borderId="0" xfId="0" applyNumberFormat="1" applyFont="1" applyAlignment="1">
      <alignment horizontal="center" vertical="center"/>
    </xf>
    <xf numFmtId="181" fontId="9" fillId="0" borderId="0" xfId="0" applyNumberFormat="1" applyFont="1" applyAlignment="1">
      <alignment horizontal="center" vertical="center"/>
    </xf>
    <xf numFmtId="0" fontId="11" fillId="0" borderId="0" xfId="0" applyFont="1" applyAlignment="1">
      <alignment horizontal="left" vertical="center"/>
    </xf>
    <xf numFmtId="0" fontId="11" fillId="0" borderId="0" xfId="0" applyFont="1">
      <alignment vertical="center"/>
    </xf>
    <xf numFmtId="0" fontId="11" fillId="0" borderId="0" xfId="0" quotePrefix="1" applyFont="1">
      <alignment vertical="center"/>
    </xf>
    <xf numFmtId="0" fontId="10" fillId="0" borderId="0" xfId="0" applyFont="1">
      <alignment vertical="center"/>
    </xf>
    <xf numFmtId="0" fontId="0" fillId="0" borderId="1" xfId="0" applyBorder="1" applyAlignment="1">
      <alignment horizontal="center" vertical="center"/>
    </xf>
    <xf numFmtId="0" fontId="9" fillId="2" borderId="3" xfId="0" applyFont="1" applyFill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7" fillId="0" borderId="2" xfId="0" applyFont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</cellXfs>
  <cellStyles count="11">
    <cellStyle name="Comma [0] 2" xfId="7" xr:uid="{00000000-0005-0000-0000-000000000000}"/>
    <cellStyle name="Normal 2" xfId="5" xr:uid="{00000000-0005-0000-0000-000002000000}"/>
    <cellStyle name="Percent 2" xfId="8" xr:uid="{00000000-0005-0000-0000-000004000000}"/>
    <cellStyle name="パーセント" xfId="1" builtinId="5"/>
    <cellStyle name="パーセント 2" xfId="10" xr:uid="{00000000-0005-0000-0000-000005000000}"/>
    <cellStyle name="桁区切り 2" xfId="4" xr:uid="{00000000-0005-0000-0000-000006000000}"/>
    <cellStyle name="標準" xfId="0" builtinId="0"/>
    <cellStyle name="標準 2" xfId="2" xr:uid="{00000000-0005-0000-0000-000007000000}"/>
    <cellStyle name="標準 3" xfId="3" xr:uid="{00000000-0005-0000-0000-000008000000}"/>
    <cellStyle name="標準 4" xfId="6" xr:uid="{00000000-0005-0000-0000-000009000000}"/>
    <cellStyle name="標準 5" xfId="9" xr:uid="{00000000-0005-0000-0000-00000A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square"/>
            <c:size val="8"/>
            <c:spPr>
              <a:solidFill>
                <a:schemeClr val="accent1"/>
              </a:solidFill>
              <a:ln w="9525">
                <a:solidFill>
                  <a:schemeClr val="accent1"/>
                </a:solidFill>
                <a:round/>
              </a:ln>
              <a:effectLst/>
            </c:spPr>
          </c:marker>
          <c:cat>
            <c:strRef>
              <c:f>'1.2'!$A$3:$A$8</c:f>
              <c:strCache>
                <c:ptCount val="6"/>
                <c:pt idx="0">
                  <c:v>Feb</c:v>
                </c:pt>
                <c:pt idx="1">
                  <c:v>Mar</c:v>
                </c:pt>
                <c:pt idx="2">
                  <c:v>Apr</c:v>
                </c:pt>
                <c:pt idx="3">
                  <c:v>Jun</c:v>
                </c:pt>
                <c:pt idx="4">
                  <c:v>Sep</c:v>
                </c:pt>
                <c:pt idx="5">
                  <c:v>Dec</c:v>
                </c:pt>
              </c:strCache>
            </c:strRef>
          </c:cat>
          <c:val>
            <c:numRef>
              <c:f>'1.2'!$D$3:$D$8</c:f>
              <c:numCache>
                <c:formatCode>0.00</c:formatCode>
                <c:ptCount val="6"/>
                <c:pt idx="0">
                  <c:v>29.61</c:v>
                </c:pt>
                <c:pt idx="1">
                  <c:v>28.06</c:v>
                </c:pt>
                <c:pt idx="2">
                  <c:v>27.15</c:v>
                </c:pt>
                <c:pt idx="3">
                  <c:v>25.61</c:v>
                </c:pt>
                <c:pt idx="4">
                  <c:v>25.08</c:v>
                </c:pt>
                <c:pt idx="5">
                  <c:v>24.71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F55-4DE7-BD5A-965885C29F64}"/>
            </c:ext>
          </c:extLst>
        </c:ser>
        <c:ser>
          <c:idx val="1"/>
          <c:order val="1"/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triangle"/>
            <c:size val="8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'1.2'!$A$3:$A$8</c:f>
              <c:strCache>
                <c:ptCount val="6"/>
                <c:pt idx="0">
                  <c:v>Feb</c:v>
                </c:pt>
                <c:pt idx="1">
                  <c:v>Mar</c:v>
                </c:pt>
                <c:pt idx="2">
                  <c:v>Apr</c:v>
                </c:pt>
                <c:pt idx="3">
                  <c:v>Jun</c:v>
                </c:pt>
                <c:pt idx="4">
                  <c:v>Sep</c:v>
                </c:pt>
                <c:pt idx="5">
                  <c:v>Dec</c:v>
                </c:pt>
              </c:strCache>
            </c:strRef>
          </c:cat>
          <c:val>
            <c:numRef>
              <c:f>'1.2'!$J$3:$J$8</c:f>
              <c:numCache>
                <c:formatCode>0.0</c:formatCode>
                <c:ptCount val="6"/>
                <c:pt idx="1">
                  <c:v>25.942660624134117</c:v>
                </c:pt>
                <c:pt idx="2">
                  <c:v>24.022792577475602</c:v>
                </c:pt>
                <c:pt idx="3">
                  <c:v>21.540284991309015</c:v>
                </c:pt>
                <c:pt idx="4">
                  <c:v>23.300110947208136</c:v>
                </c:pt>
                <c:pt idx="5">
                  <c:v>22.71919132221943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CF55-4DE7-BD5A-965885C29F64}"/>
            </c:ext>
          </c:extLst>
        </c:ser>
        <c:ser>
          <c:idx val="2"/>
          <c:order val="2"/>
          <c:tx>
            <c:strRef>
              <c:f>'1.2'!$A$3:$A$8</c:f>
              <c:strCache>
                <c:ptCount val="6"/>
                <c:pt idx="0">
                  <c:v>Feb</c:v>
                </c:pt>
                <c:pt idx="1">
                  <c:v>Mar</c:v>
                </c:pt>
                <c:pt idx="2">
                  <c:v>Apr</c:v>
                </c:pt>
                <c:pt idx="3">
                  <c:v>Jun</c:v>
                </c:pt>
                <c:pt idx="4">
                  <c:v>Sep</c:v>
                </c:pt>
                <c:pt idx="5">
                  <c:v>Dec</c:v>
                </c:pt>
              </c:strCache>
            </c:strRef>
          </c:tx>
          <c:spPr>
            <a:ln w="28575" cap="rnd">
              <a:solidFill>
                <a:schemeClr val="accent6">
                  <a:lumMod val="75000"/>
                </a:schemeClr>
              </a:solidFill>
              <a:prstDash val="dash"/>
              <a:round/>
            </a:ln>
            <a:effectLst/>
          </c:spPr>
          <c:marker>
            <c:symbol val="circle"/>
            <c:size val="7"/>
            <c:spPr>
              <a:solidFill>
                <a:schemeClr val="accent3"/>
              </a:solidFill>
              <a:ln w="9525">
                <a:solidFill>
                  <a:schemeClr val="accent6">
                    <a:lumMod val="75000"/>
                  </a:schemeClr>
                </a:solidFill>
              </a:ln>
              <a:effectLst/>
            </c:spPr>
          </c:marker>
          <c:val>
            <c:numRef>
              <c:f>'1.2'!$M$3:$M$8</c:f>
              <c:numCache>
                <c:formatCode>0.0</c:formatCode>
                <c:ptCount val="6"/>
                <c:pt idx="1">
                  <c:v>27.25196047993612</c:v>
                </c:pt>
                <c:pt idx="2">
                  <c:v>25.724712826385446</c:v>
                </c:pt>
                <c:pt idx="3">
                  <c:v>23.782217679976313</c:v>
                </c:pt>
                <c:pt idx="4">
                  <c:v>24.284586596313428</c:v>
                </c:pt>
                <c:pt idx="5">
                  <c:v>23.774711354714711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CF55-4DE7-BD5A-965885C29F6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38056704"/>
        <c:axId val="338058240"/>
      </c:lineChart>
      <c:catAx>
        <c:axId val="33805670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ja-JP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338058240"/>
        <c:crosses val="autoZero"/>
        <c:auto val="1"/>
        <c:lblAlgn val="ctr"/>
        <c:lblOffset val="100"/>
        <c:noMultiLvlLbl val="0"/>
      </c:catAx>
      <c:valAx>
        <c:axId val="338058240"/>
        <c:scaling>
          <c:orientation val="minMax"/>
          <c:max val="30"/>
          <c:min val="2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ja-JP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338056704"/>
        <c:crosses val="autoZero"/>
        <c:crossBetween val="between"/>
        <c:majorUnit val="2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2"/>
          <c:order val="2"/>
          <c:spPr>
            <a:ln w="28575" cap="rnd">
              <a:solidFill>
                <a:schemeClr val="tx1">
                  <a:lumMod val="75000"/>
                  <a:lumOff val="25000"/>
                </a:schemeClr>
              </a:solidFill>
              <a:prstDash val="sysDash"/>
              <a:round/>
            </a:ln>
            <a:effectLst/>
          </c:spPr>
          <c:marker>
            <c:symbol val="none"/>
          </c:marker>
          <c:cat>
            <c:numRef>
              <c:f>'1.10'!$A$2:$A$22</c:f>
              <c:numCache>
                <c:formatCode>General</c:formatCode>
                <c:ptCount val="21"/>
                <c:pt idx="0">
                  <c:v>80</c:v>
                </c:pt>
                <c:pt idx="1">
                  <c:v>82</c:v>
                </c:pt>
                <c:pt idx="2">
                  <c:v>84</c:v>
                </c:pt>
                <c:pt idx="3">
                  <c:v>86</c:v>
                </c:pt>
                <c:pt idx="4">
                  <c:v>88</c:v>
                </c:pt>
                <c:pt idx="5">
                  <c:v>90</c:v>
                </c:pt>
                <c:pt idx="6">
                  <c:v>92</c:v>
                </c:pt>
                <c:pt idx="7">
                  <c:v>94</c:v>
                </c:pt>
                <c:pt idx="8">
                  <c:v>96</c:v>
                </c:pt>
                <c:pt idx="9">
                  <c:v>98</c:v>
                </c:pt>
                <c:pt idx="10">
                  <c:v>100</c:v>
                </c:pt>
                <c:pt idx="11">
                  <c:v>102</c:v>
                </c:pt>
                <c:pt idx="12">
                  <c:v>104</c:v>
                </c:pt>
                <c:pt idx="13">
                  <c:v>106</c:v>
                </c:pt>
                <c:pt idx="14">
                  <c:v>108</c:v>
                </c:pt>
                <c:pt idx="15">
                  <c:v>110</c:v>
                </c:pt>
                <c:pt idx="16">
                  <c:v>112</c:v>
                </c:pt>
                <c:pt idx="17">
                  <c:v>114</c:v>
                </c:pt>
                <c:pt idx="18">
                  <c:v>116</c:v>
                </c:pt>
                <c:pt idx="19">
                  <c:v>118</c:v>
                </c:pt>
                <c:pt idx="20">
                  <c:v>120</c:v>
                </c:pt>
              </c:numCache>
            </c:numRef>
          </c:cat>
          <c:val>
            <c:numRef>
              <c:f>'1.10'!$D$2:$D$22</c:f>
              <c:numCache>
                <c:formatCode>0.00</c:formatCode>
                <c:ptCount val="21"/>
                <c:pt idx="0">
                  <c:v>0.18514841051367759</c:v>
                </c:pt>
                <c:pt idx="1">
                  <c:v>0.14760750979070658</c:v>
                </c:pt>
                <c:pt idx="2">
                  <c:v>0.11482709715822237</c:v>
                </c:pt>
                <c:pt idx="3">
                  <c:v>8.6583117876669169E-2</c:v>
                </c:pt>
                <c:pt idx="4">
                  <c:v>6.266697207907912E-2</c:v>
                </c:pt>
                <c:pt idx="5">
                  <c:v>4.2884125262610207E-2</c:v>
                </c:pt>
                <c:pt idx="6">
                  <c:v>2.7052871512408094E-2</c:v>
                </c:pt>
                <c:pt idx="7">
                  <c:v>1.5003229744700253E-2</c:v>
                </c:pt>
                <c:pt idx="8">
                  <c:v>6.5759561620413187E-3</c:v>
                </c:pt>
                <c:pt idx="9">
                  <c:v>1.6216585401557237E-3</c:v>
                </c:pt>
                <c:pt idx="10">
                  <c:v>0</c:v>
                </c:pt>
                <c:pt idx="11">
                  <c:v>1.5789816305621651E-3</c:v>
                </c:pt>
                <c:pt idx="12">
                  <c:v>6.2342947737493715E-3</c:v>
                </c:pt>
                <c:pt idx="13">
                  <c:v>1.3848735008193391E-2</c:v>
                </c:pt>
                <c:pt idx="14">
                  <c:v>2.431167091097286E-2</c:v>
                </c:pt>
                <c:pt idx="15">
                  <c:v>3.7518561565400566E-2</c:v>
                </c:pt>
                <c:pt idx="16">
                  <c:v>5.3370517543973817E-2</c:v>
                </c:pt>
                <c:pt idx="17">
                  <c:v>7.1773900748768105E-2</c:v>
                </c:pt>
                <c:pt idx="18">
                  <c:v>9.263995905381428E-2</c:v>
                </c:pt>
                <c:pt idx="19">
                  <c:v>0.11588449217941332</c:v>
                </c:pt>
                <c:pt idx="20">
                  <c:v>0.14142754564836335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47B-44E3-9B21-28850B071BC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338570624"/>
        <c:axId val="338584704"/>
        <c:extLst>
          <c:ext xmlns:c15="http://schemas.microsoft.com/office/drawing/2012/chart" uri="{02D57815-91ED-43cb-92C2-25804820EDAC}">
            <c15:filteredLineSeries>
              <c15:ser>
                <c:idx val="1"/>
                <c:order val="0"/>
                <c:spPr>
                  <a:ln w="28575" cap="rnd">
                    <a:solidFill>
                      <a:schemeClr val="accent2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uri="{02D57815-91ED-43cb-92C2-25804820EDAC}">
                        <c15:formulaRef>
                          <c15:sqref>'[1]LogCon80-120'!$A$4:$A$20</c15:sqref>
                        </c15:formulaRef>
                      </c:ext>
                    </c:extLst>
                    <c:numCache>
                      <c:formatCode>General</c:formatCode>
                      <c:ptCount val="17"/>
                      <c:pt idx="0">
                        <c:v>20</c:v>
                      </c:pt>
                      <c:pt idx="1">
                        <c:v>30</c:v>
                      </c:pt>
                      <c:pt idx="2">
                        <c:v>40</c:v>
                      </c:pt>
                      <c:pt idx="3">
                        <c:v>50</c:v>
                      </c:pt>
                      <c:pt idx="4">
                        <c:v>60</c:v>
                      </c:pt>
                      <c:pt idx="5">
                        <c:v>70</c:v>
                      </c:pt>
                      <c:pt idx="6">
                        <c:v>80</c:v>
                      </c:pt>
                      <c:pt idx="7">
                        <c:v>90</c:v>
                      </c:pt>
                      <c:pt idx="8">
                        <c:v>100</c:v>
                      </c:pt>
                      <c:pt idx="9">
                        <c:v>110</c:v>
                      </c:pt>
                      <c:pt idx="10">
                        <c:v>120</c:v>
                      </c:pt>
                      <c:pt idx="11">
                        <c:v>130</c:v>
                      </c:pt>
                      <c:pt idx="12">
                        <c:v>140</c:v>
                      </c:pt>
                      <c:pt idx="13">
                        <c:v>150</c:v>
                      </c:pt>
                      <c:pt idx="14">
                        <c:v>160</c:v>
                      </c:pt>
                      <c:pt idx="15">
                        <c:v>170</c:v>
                      </c:pt>
                      <c:pt idx="16">
                        <c:v>180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'[1]LogCon80-120'!$C$4:$C$20</c15:sqref>
                        </c15:formulaRef>
                      </c:ext>
                    </c:extLst>
                    <c:numCache>
                      <c:formatCode>0.00</c:formatCode>
                      <c:ptCount val="17"/>
                      <c:pt idx="0">
                        <c:v>1.6094379124341003</c:v>
                      </c:pt>
                      <c:pt idx="1">
                        <c:v>1.2039728043259361</c:v>
                      </c:pt>
                      <c:pt idx="2">
                        <c:v>0.916290731874155</c:v>
                      </c:pt>
                      <c:pt idx="3">
                        <c:v>0.69314718055994529</c:v>
                      </c:pt>
                      <c:pt idx="4">
                        <c:v>0.51082562376599072</c:v>
                      </c:pt>
                      <c:pt idx="5">
                        <c:v>0.35667494393873245</c:v>
                      </c:pt>
                      <c:pt idx="6">
                        <c:v>0.22314355131420971</c:v>
                      </c:pt>
                      <c:pt idx="7">
                        <c:v>0.10536051565782628</c:v>
                      </c:pt>
                      <c:pt idx="8">
                        <c:v>0</c:v>
                      </c:pt>
                      <c:pt idx="9">
                        <c:v>-9.5310179804324935E-2</c:v>
                      </c:pt>
                      <c:pt idx="10">
                        <c:v>-0.18232155679395459</c:v>
                      </c:pt>
                      <c:pt idx="11">
                        <c:v>-0.26236426446749106</c:v>
                      </c:pt>
                      <c:pt idx="12">
                        <c:v>-0.33647223662121289</c:v>
                      </c:pt>
                      <c:pt idx="13">
                        <c:v>-0.40546510810816438</c:v>
                      </c:pt>
                      <c:pt idx="14">
                        <c:v>-0.47000362924573563</c:v>
                      </c:pt>
                      <c:pt idx="15">
                        <c:v>-0.53062825106217038</c:v>
                      </c:pt>
                      <c:pt idx="16">
                        <c:v>-0.58778666490211906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1-047B-44E3-9B21-28850B071BCB}"/>
                  </c:ext>
                </c:extLst>
              </c15:ser>
            </c15:filteredLineSeries>
            <c15:filteredLineSeries>
              <c15:ser>
                <c:idx val="0"/>
                <c:order val="1"/>
                <c:spPr>
                  <a:ln w="28575" cap="rnd">
                    <a:solidFill>
                      <a:schemeClr val="accent1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'[1]LogCon80-120'!$A$4:$A$20</c15:sqref>
                        </c15:formulaRef>
                      </c:ext>
                    </c:extLst>
                    <c:numCache>
                      <c:formatCode>General</c:formatCode>
                      <c:ptCount val="17"/>
                      <c:pt idx="0">
                        <c:v>20</c:v>
                      </c:pt>
                      <c:pt idx="1">
                        <c:v>30</c:v>
                      </c:pt>
                      <c:pt idx="2">
                        <c:v>40</c:v>
                      </c:pt>
                      <c:pt idx="3">
                        <c:v>50</c:v>
                      </c:pt>
                      <c:pt idx="4">
                        <c:v>60</c:v>
                      </c:pt>
                      <c:pt idx="5">
                        <c:v>70</c:v>
                      </c:pt>
                      <c:pt idx="6">
                        <c:v>80</c:v>
                      </c:pt>
                      <c:pt idx="7">
                        <c:v>90</c:v>
                      </c:pt>
                      <c:pt idx="8">
                        <c:v>100</c:v>
                      </c:pt>
                      <c:pt idx="9">
                        <c:v>110</c:v>
                      </c:pt>
                      <c:pt idx="10">
                        <c:v>120</c:v>
                      </c:pt>
                      <c:pt idx="11">
                        <c:v>130</c:v>
                      </c:pt>
                      <c:pt idx="12">
                        <c:v>140</c:v>
                      </c:pt>
                      <c:pt idx="13">
                        <c:v>150</c:v>
                      </c:pt>
                      <c:pt idx="14">
                        <c:v>160</c:v>
                      </c:pt>
                      <c:pt idx="15">
                        <c:v>170</c:v>
                      </c:pt>
                      <c:pt idx="16">
                        <c:v>180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'[1]LogCon80-120'!$B$4:$B$20</c15:sqref>
                        </c15:formulaRef>
                      </c:ext>
                    </c:extLst>
                    <c:numCache>
                      <c:formatCode>General</c:formatCode>
                      <c:ptCount val="17"/>
                      <c:pt idx="0">
                        <c:v>-0.8</c:v>
                      </c:pt>
                      <c:pt idx="1">
                        <c:v>-0.7</c:v>
                      </c:pt>
                      <c:pt idx="2">
                        <c:v>-0.6</c:v>
                      </c:pt>
                      <c:pt idx="3">
                        <c:v>-0.5</c:v>
                      </c:pt>
                      <c:pt idx="4">
                        <c:v>-0.4</c:v>
                      </c:pt>
                      <c:pt idx="5">
                        <c:v>-0.3</c:v>
                      </c:pt>
                      <c:pt idx="6">
                        <c:v>-0.2</c:v>
                      </c:pt>
                      <c:pt idx="7">
                        <c:v>-0.1</c:v>
                      </c:pt>
                      <c:pt idx="8">
                        <c:v>0</c:v>
                      </c:pt>
                      <c:pt idx="9">
                        <c:v>0.1</c:v>
                      </c:pt>
                      <c:pt idx="10">
                        <c:v>0.2</c:v>
                      </c:pt>
                      <c:pt idx="11">
                        <c:v>0.3</c:v>
                      </c:pt>
                      <c:pt idx="12">
                        <c:v>0.4</c:v>
                      </c:pt>
                      <c:pt idx="13">
                        <c:v>0.5</c:v>
                      </c:pt>
                      <c:pt idx="14">
                        <c:v>0.6</c:v>
                      </c:pt>
                      <c:pt idx="15">
                        <c:v>0.7</c:v>
                      </c:pt>
                      <c:pt idx="16">
                        <c:v>0.8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2-047B-44E3-9B21-28850B071BCB}"/>
                  </c:ext>
                </c:extLst>
              </c15:ser>
            </c15:filteredLineSeries>
          </c:ext>
        </c:extLst>
      </c:lineChart>
      <c:catAx>
        <c:axId val="33857062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ja-JP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338584704"/>
        <c:crosses val="autoZero"/>
        <c:auto val="1"/>
        <c:lblAlgn val="ctr"/>
        <c:lblOffset val="100"/>
        <c:noMultiLvlLbl val="0"/>
      </c:catAx>
      <c:valAx>
        <c:axId val="33858470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ja-JP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33857062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180975</xdr:colOff>
      <xdr:row>8</xdr:row>
      <xdr:rowOff>28576</xdr:rowOff>
    </xdr:from>
    <xdr:to>
      <xdr:col>13</xdr:col>
      <xdr:colOff>467264</xdr:colOff>
      <xdr:row>18</xdr:row>
      <xdr:rowOff>85725</xdr:rowOff>
    </xdr:to>
    <xdr:graphicFrame macro="">
      <xdr:nvGraphicFramePr>
        <xdr:cNvPr id="2" name="グラフ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oneCellAnchor>
    <xdr:from>
      <xdr:col>11</xdr:col>
      <xdr:colOff>152759</xdr:colOff>
      <xdr:row>10</xdr:row>
      <xdr:rowOff>152760</xdr:rowOff>
    </xdr:from>
    <xdr:ext cx="1072730" cy="242374"/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SpPr txBox="1"/>
      </xdr:nvSpPr>
      <xdr:spPr>
        <a:xfrm>
          <a:off x="4753514" y="2039788"/>
          <a:ext cx="1072730" cy="242374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900"/>
            <a:t>D</a:t>
          </a:r>
          <a:r>
            <a:rPr lang="ja-JP" altLang="en-US" sz="900"/>
            <a:t>列</a:t>
          </a:r>
          <a:r>
            <a:rPr lang="en-US" altLang="ja-JP" sz="900"/>
            <a:t>:</a:t>
          </a:r>
          <a:r>
            <a:rPr lang="ja-JP" altLang="en-US" sz="900"/>
            <a:t> ボラティリティ</a:t>
          </a:r>
          <a:endParaRPr lang="en-US" sz="900"/>
        </a:p>
      </xdr:txBody>
    </xdr:sp>
    <xdr:clientData/>
  </xdr:oneCellAnchor>
  <xdr:oneCellAnchor>
    <xdr:from>
      <xdr:col>2</xdr:col>
      <xdr:colOff>395378</xdr:colOff>
      <xdr:row>10</xdr:row>
      <xdr:rowOff>107831</xdr:rowOff>
    </xdr:from>
    <xdr:ext cx="1095941" cy="242374"/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 txBox="1"/>
      </xdr:nvSpPr>
      <xdr:spPr>
        <a:xfrm>
          <a:off x="1087288" y="1994859"/>
          <a:ext cx="1095941" cy="242374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altLang="ja-JP" sz="900"/>
            <a:t>M</a:t>
          </a:r>
          <a:r>
            <a:rPr lang="ja-JP" altLang="en-US" sz="900"/>
            <a:t>列</a:t>
          </a:r>
          <a:r>
            <a:rPr lang="en-US" altLang="ja-JP" sz="900"/>
            <a:t>:</a:t>
          </a:r>
          <a:r>
            <a:rPr lang="ja-JP" altLang="en-US" sz="900"/>
            <a:t> フォワード</a:t>
          </a:r>
          <a:r>
            <a:rPr lang="en-US" altLang="ja-JP" sz="900"/>
            <a:t>Vol</a:t>
          </a:r>
          <a:endParaRPr lang="en-US" sz="900"/>
        </a:p>
      </xdr:txBody>
    </xdr:sp>
    <xdr:clientData/>
  </xdr:oneCellAnchor>
  <xdr:oneCellAnchor>
    <xdr:from>
      <xdr:col>5</xdr:col>
      <xdr:colOff>521178</xdr:colOff>
      <xdr:row>15</xdr:row>
      <xdr:rowOff>71887</xdr:rowOff>
    </xdr:from>
    <xdr:ext cx="1017394" cy="242374"/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SpPr txBox="1"/>
      </xdr:nvSpPr>
      <xdr:spPr>
        <a:xfrm>
          <a:off x="2785612" y="2902429"/>
          <a:ext cx="1017394" cy="242374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900"/>
            <a:t>J</a:t>
          </a:r>
          <a:r>
            <a:rPr lang="ja-JP" altLang="en-US" sz="900"/>
            <a:t>列</a:t>
          </a:r>
          <a:r>
            <a:rPr lang="en-US" altLang="ja-JP" sz="900"/>
            <a:t>:</a:t>
          </a:r>
          <a:r>
            <a:rPr lang="ja-JP" altLang="en-US" sz="900"/>
            <a:t> スプレッド</a:t>
          </a:r>
          <a:r>
            <a:rPr lang="en-US" altLang="ja-JP" sz="900"/>
            <a:t>Vol</a:t>
          </a:r>
          <a:endParaRPr lang="en-US" sz="900"/>
        </a:p>
      </xdr:txBody>
    </xdr:sp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52386</xdr:colOff>
      <xdr:row>0</xdr:row>
      <xdr:rowOff>66675</xdr:rowOff>
    </xdr:from>
    <xdr:to>
      <xdr:col>12</xdr:col>
      <xdr:colOff>447675</xdr:colOff>
      <xdr:row>21</xdr:row>
      <xdr:rowOff>142874</xdr:rowOff>
    </xdr:to>
    <xdr:grpSp>
      <xdr:nvGrpSpPr>
        <xdr:cNvPr id="11" name="Group 10">
          <a:extLst>
            <a:ext uri="{FF2B5EF4-FFF2-40B4-BE49-F238E27FC236}">
              <a16:creationId xmlns:a16="http://schemas.microsoft.com/office/drawing/2014/main" id="{00000000-0008-0000-0300-00000B000000}"/>
            </a:ext>
          </a:extLst>
        </xdr:cNvPr>
        <xdr:cNvGrpSpPr/>
      </xdr:nvGrpSpPr>
      <xdr:grpSpPr>
        <a:xfrm>
          <a:off x="1925636" y="66675"/>
          <a:ext cx="5068889" cy="3428999"/>
          <a:chOff x="2005011" y="66675"/>
          <a:chExt cx="5272089" cy="4267199"/>
        </a:xfrm>
      </xdr:grpSpPr>
      <xdr:graphicFrame macro="">
        <xdr:nvGraphicFramePr>
          <xdr:cNvPr id="2" name="グラフ 1">
            <a:extLst>
              <a:ext uri="{FF2B5EF4-FFF2-40B4-BE49-F238E27FC236}">
                <a16:creationId xmlns:a16="http://schemas.microsoft.com/office/drawing/2014/main" id="{00000000-0008-0000-0300-000002000000}"/>
              </a:ext>
            </a:extLst>
          </xdr:cNvPr>
          <xdr:cNvGraphicFramePr>
            <a:graphicFrameLocks/>
          </xdr:cNvGraphicFramePr>
        </xdr:nvGraphicFramePr>
        <xdr:xfrm>
          <a:off x="2005011" y="66675"/>
          <a:ext cx="5272089" cy="4267199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1"/>
          </a:graphicData>
        </a:graphic>
      </xdr:graphicFrame>
      <xdr:cxnSp macro="">
        <xdr:nvCxnSpPr>
          <xdr:cNvPr id="4" name="Straight Connector 3">
            <a:extLst>
              <a:ext uri="{FF2B5EF4-FFF2-40B4-BE49-F238E27FC236}">
                <a16:creationId xmlns:a16="http://schemas.microsoft.com/office/drawing/2014/main" id="{00000000-0008-0000-0300-000004000000}"/>
              </a:ext>
            </a:extLst>
          </xdr:cNvPr>
          <xdr:cNvCxnSpPr/>
        </xdr:nvCxnSpPr>
        <xdr:spPr>
          <a:xfrm flipV="1">
            <a:off x="4781550" y="3333750"/>
            <a:ext cx="1076325" cy="695325"/>
          </a:xfrm>
          <a:prstGeom prst="line">
            <a:avLst/>
          </a:prstGeom>
          <a:ln w="28575"/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5" name="Straight Connector 4">
            <a:extLst>
              <a:ext uri="{FF2B5EF4-FFF2-40B4-BE49-F238E27FC236}">
                <a16:creationId xmlns:a16="http://schemas.microsoft.com/office/drawing/2014/main" id="{00000000-0008-0000-0300-000005000000}"/>
              </a:ext>
            </a:extLst>
          </xdr:cNvPr>
          <xdr:cNvCxnSpPr/>
        </xdr:nvCxnSpPr>
        <xdr:spPr>
          <a:xfrm flipV="1">
            <a:off x="5848350" y="1352550"/>
            <a:ext cx="1133475" cy="1990726"/>
          </a:xfrm>
          <a:prstGeom prst="line">
            <a:avLst/>
          </a:prstGeom>
          <a:ln w="28575"/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7" name="Straight Connector 6">
            <a:extLst>
              <a:ext uri="{FF2B5EF4-FFF2-40B4-BE49-F238E27FC236}">
                <a16:creationId xmlns:a16="http://schemas.microsoft.com/office/drawing/2014/main" id="{00000000-0008-0000-0300-000007000000}"/>
              </a:ext>
            </a:extLst>
          </xdr:cNvPr>
          <xdr:cNvCxnSpPr/>
        </xdr:nvCxnSpPr>
        <xdr:spPr>
          <a:xfrm>
            <a:off x="3638550" y="3238500"/>
            <a:ext cx="1152525" cy="790576"/>
          </a:xfrm>
          <a:prstGeom prst="line">
            <a:avLst/>
          </a:prstGeom>
          <a:ln w="28575"/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9" name="Straight Connector 8">
            <a:extLst>
              <a:ext uri="{FF2B5EF4-FFF2-40B4-BE49-F238E27FC236}">
                <a16:creationId xmlns:a16="http://schemas.microsoft.com/office/drawing/2014/main" id="{00000000-0008-0000-0300-000009000000}"/>
              </a:ext>
            </a:extLst>
          </xdr:cNvPr>
          <xdr:cNvCxnSpPr/>
        </xdr:nvCxnSpPr>
        <xdr:spPr>
          <a:xfrm flipH="1" flipV="1">
            <a:off x="2495550" y="476250"/>
            <a:ext cx="1162050" cy="2781301"/>
          </a:xfrm>
          <a:prstGeom prst="line">
            <a:avLst/>
          </a:prstGeom>
          <a:ln w="28575"/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11585</xdr:colOff>
      <xdr:row>3</xdr:row>
      <xdr:rowOff>78101</xdr:rowOff>
    </xdr:from>
    <xdr:ext cx="264560" cy="2893620"/>
    <xdr:sp macro="" textlink="">
      <xdr:nvSpPr>
        <xdr:cNvPr id="2" name="テキスト ボックス 1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SpPr txBox="1"/>
      </xdr:nvSpPr>
      <xdr:spPr>
        <a:xfrm rot="16200000">
          <a:off x="421080" y="1964131"/>
          <a:ext cx="289362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r>
            <a:rPr kumimoji="1" lang="en-US" altLang="ja-JP" sz="1100"/>
            <a:t>D18 = = 2 /C2 * ((B18 - B2) / B2 - LN(B18 / B2))</a:t>
          </a:r>
          <a:endParaRPr kumimoji="1" lang="ja-JP" altLang="en-US" sz="1100"/>
        </a:p>
      </xdr:txBody>
    </xdr:sp>
    <xdr:clientData/>
  </xdr:oneCellAnchor>
  <xdr:oneCellAnchor>
    <xdr:from>
      <xdr:col>7</xdr:col>
      <xdr:colOff>13489</xdr:colOff>
      <xdr:row>3</xdr:row>
      <xdr:rowOff>19051</xdr:rowOff>
    </xdr:from>
    <xdr:ext cx="264560" cy="3076575"/>
    <xdr:sp macro="" textlink="">
      <xdr:nvSpPr>
        <xdr:cNvPr id="3" name="テキスト ボックス 2">
          <a:extLst>
            <a:ext uri="{FF2B5EF4-FFF2-40B4-BE49-F238E27FC236}">
              <a16:creationId xmlns:a16="http://schemas.microsoft.com/office/drawing/2014/main" id="{00000000-0008-0000-0400-000003000000}"/>
            </a:ext>
          </a:extLst>
        </xdr:cNvPr>
        <xdr:cNvSpPr txBox="1"/>
      </xdr:nvSpPr>
      <xdr:spPr>
        <a:xfrm rot="16200000">
          <a:off x="1522131" y="1996559"/>
          <a:ext cx="3076575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r>
            <a:rPr kumimoji="1" lang="en-US" altLang="ja-JP" sz="1100"/>
            <a:t>F18 =(D19-D18)/(B19-B18)*10000-SUM(F17:F17)</a:t>
          </a:r>
          <a:endParaRPr kumimoji="1" lang="ja-JP" altLang="en-US" sz="1100"/>
        </a:p>
      </xdr:txBody>
    </xdr:sp>
    <xdr:clientData/>
  </xdr:oneCellAnchor>
  <xdr:oneCellAnchor>
    <xdr:from>
      <xdr:col>0</xdr:col>
      <xdr:colOff>95250</xdr:colOff>
      <xdr:row>15</xdr:row>
      <xdr:rowOff>190499</xdr:rowOff>
    </xdr:from>
    <xdr:ext cx="209553" cy="1524004"/>
    <xdr:sp macro="" textlink="">
      <xdr:nvSpPr>
        <xdr:cNvPr id="4" name="テキスト ボックス 3">
          <a:extLst>
            <a:ext uri="{FF2B5EF4-FFF2-40B4-BE49-F238E27FC236}">
              <a16:creationId xmlns:a16="http://schemas.microsoft.com/office/drawing/2014/main" id="{00000000-0008-0000-0400-000004000000}"/>
            </a:ext>
          </a:extLst>
        </xdr:cNvPr>
        <xdr:cNvSpPr txBox="1"/>
      </xdr:nvSpPr>
      <xdr:spPr>
        <a:xfrm rot="16200000">
          <a:off x="-561975" y="3705224"/>
          <a:ext cx="1524004" cy="209553"/>
        </a:xfrm>
        <a:prstGeom prst="rect">
          <a:avLst/>
        </a:prstGeom>
        <a:solidFill>
          <a:schemeClr val="bg1">
            <a:lumMod val="85000"/>
          </a:schemeClr>
        </a:solidFill>
        <a:ln>
          <a:solidFill>
            <a:sysClr val="windowText" lastClr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ctr">
          <a:noAutofit/>
        </a:bodyPr>
        <a:lstStyle/>
        <a:p>
          <a:pPr algn="ctr"/>
          <a:r>
            <a:rPr kumimoji="1" lang="en-US" altLang="ja-JP" sz="1100"/>
            <a:t>Call</a:t>
          </a:r>
          <a:endParaRPr kumimoji="1" lang="ja-JP" altLang="en-US" sz="1100"/>
        </a:p>
      </xdr:txBody>
    </xdr:sp>
    <xdr:clientData/>
  </xdr:oneCellAnchor>
  <xdr:oneCellAnchor>
    <xdr:from>
      <xdr:col>0</xdr:col>
      <xdr:colOff>99210</xdr:colOff>
      <xdr:row>4</xdr:row>
      <xdr:rowOff>171449</xdr:rowOff>
    </xdr:from>
    <xdr:ext cx="205589" cy="2105026"/>
    <xdr:sp macro="" textlink="">
      <xdr:nvSpPr>
        <xdr:cNvPr id="5" name="テキスト ボックス 4">
          <a:extLst>
            <a:ext uri="{FF2B5EF4-FFF2-40B4-BE49-F238E27FC236}">
              <a16:creationId xmlns:a16="http://schemas.microsoft.com/office/drawing/2014/main" id="{00000000-0008-0000-0400-000005000000}"/>
            </a:ext>
          </a:extLst>
        </xdr:cNvPr>
        <xdr:cNvSpPr txBox="1"/>
      </xdr:nvSpPr>
      <xdr:spPr>
        <a:xfrm rot="16200000">
          <a:off x="-850508" y="1883167"/>
          <a:ext cx="2105026" cy="205589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ctr">
          <a:noAutofit/>
        </a:bodyPr>
        <a:lstStyle/>
        <a:p>
          <a:pPr algn="ctr"/>
          <a:r>
            <a:rPr kumimoji="1" lang="en-US" altLang="ja-JP" sz="1100"/>
            <a:t>Put</a:t>
          </a:r>
          <a:endParaRPr kumimoji="1" lang="ja-JP" altLang="en-US" sz="1100"/>
        </a:p>
      </xdr:txBody>
    </xdr:sp>
    <xdr:clientData/>
  </xdr:oneCellAnchor>
</xdr:wsDr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4"/>
  <dimension ref="A1:P10"/>
  <sheetViews>
    <sheetView showGridLines="0" tabSelected="1" zoomScaleNormal="100" workbookViewId="0"/>
  </sheetViews>
  <sheetFormatPr defaultRowHeight="12"/>
  <cols>
    <col min="1" max="1" width="5" bestFit="1" customWidth="1"/>
    <col min="2" max="2" width="5.5" bestFit="1" customWidth="1"/>
    <col min="3" max="3" width="6.5" bestFit="1" customWidth="1"/>
    <col min="5" max="6" width="8" style="1" customWidth="1"/>
    <col min="7" max="7" width="1.5" customWidth="1"/>
    <col min="8" max="10" width="8" style="1" customWidth="1"/>
    <col min="11" max="11" width="1.5" customWidth="1"/>
    <col min="12" max="13" width="8" customWidth="1"/>
    <col min="14" max="14" width="16" customWidth="1"/>
  </cols>
  <sheetData>
    <row r="1" spans="1:16">
      <c r="B1" s="41" t="s">
        <v>38</v>
      </c>
      <c r="C1" s="40">
        <v>365</v>
      </c>
      <c r="D1" s="1" t="s">
        <v>37</v>
      </c>
      <c r="E1" s="80" t="s">
        <v>36</v>
      </c>
      <c r="F1" s="80"/>
      <c r="H1" s="80" t="s">
        <v>35</v>
      </c>
      <c r="I1" s="80"/>
      <c r="J1" s="80"/>
      <c r="L1" s="21" t="s">
        <v>34</v>
      </c>
      <c r="M1" s="21" t="s">
        <v>33</v>
      </c>
    </row>
    <row r="2" spans="1:16">
      <c r="A2" s="11" t="s">
        <v>32</v>
      </c>
      <c r="B2" s="39" t="s">
        <v>31</v>
      </c>
      <c r="C2" s="39" t="s">
        <v>30</v>
      </c>
      <c r="D2" s="20" t="s">
        <v>29</v>
      </c>
      <c r="E2" s="11" t="s">
        <v>28</v>
      </c>
      <c r="F2" s="11" t="s">
        <v>26</v>
      </c>
      <c r="H2" s="11" t="s">
        <v>27</v>
      </c>
      <c r="I2" s="11" t="s">
        <v>26</v>
      </c>
      <c r="J2" s="11" t="s">
        <v>24</v>
      </c>
      <c r="L2" s="39" t="s">
        <v>25</v>
      </c>
      <c r="M2" s="38" t="s">
        <v>24</v>
      </c>
      <c r="N2" s="15" t="s">
        <v>23</v>
      </c>
    </row>
    <row r="3" spans="1:16">
      <c r="A3" s="37" t="s">
        <v>22</v>
      </c>
      <c r="B3">
        <v>14</v>
      </c>
      <c r="C3" s="33">
        <f t="shared" ref="C3:C8" si="0">B3/$C$1</f>
        <v>3.8356164383561646E-2</v>
      </c>
      <c r="D3" s="28">
        <v>29.61</v>
      </c>
      <c r="E3" s="28">
        <f t="shared" ref="E3:E8" si="1">0.4*D3*SQRT(C3)</f>
        <v>2.3196154050612057</v>
      </c>
      <c r="F3" s="3">
        <f t="shared" ref="F3:F8" si="2">0.4*SQRT(C3)</f>
        <v>7.8338919454954595E-2</v>
      </c>
      <c r="L3" s="32">
        <f t="shared" ref="L3:L8" si="3">D3^2*C3</f>
        <v>33.628847671232876</v>
      </c>
      <c r="M3" s="1"/>
      <c r="P3" s="33"/>
    </row>
    <row r="4" spans="1:16">
      <c r="A4" s="37" t="s">
        <v>21</v>
      </c>
      <c r="B4">
        <v>42</v>
      </c>
      <c r="C4" s="33">
        <f t="shared" si="0"/>
        <v>0.11506849315068493</v>
      </c>
      <c r="D4" s="28">
        <v>28.06</v>
      </c>
      <c r="E4" s="28">
        <f t="shared" si="1"/>
        <v>3.8073769030911269</v>
      </c>
      <c r="F4" s="3">
        <f t="shared" si="2"/>
        <v>0.13568698870602733</v>
      </c>
      <c r="H4" s="30">
        <f t="shared" ref="H4:I8" si="4">E4-E3</f>
        <v>1.4877614980299212</v>
      </c>
      <c r="I4" s="29">
        <f t="shared" si="4"/>
        <v>5.7348069251072734E-2</v>
      </c>
      <c r="J4" s="32">
        <f>H4/I4</f>
        <v>25.942660624134117</v>
      </c>
      <c r="L4" s="32">
        <f t="shared" si="3"/>
        <v>90.600743013698619</v>
      </c>
      <c r="M4" s="32">
        <f>SQRT((L4-L3)/(C4-C3))</f>
        <v>27.25196047993612</v>
      </c>
      <c r="N4" s="36" t="s">
        <v>50</v>
      </c>
      <c r="P4" s="33"/>
    </row>
    <row r="5" spans="1:16">
      <c r="A5" s="34" t="s">
        <v>20</v>
      </c>
      <c r="B5">
        <v>70</v>
      </c>
      <c r="C5" s="33">
        <f t="shared" si="0"/>
        <v>0.19178082191780821</v>
      </c>
      <c r="D5" s="28">
        <v>27.15</v>
      </c>
      <c r="E5" s="28">
        <f t="shared" si="1"/>
        <v>4.7558967003770727</v>
      </c>
      <c r="F5" s="3">
        <f t="shared" si="2"/>
        <v>0.17517114918515925</v>
      </c>
      <c r="H5" s="30">
        <f t="shared" si="4"/>
        <v>0.94851979728594582</v>
      </c>
      <c r="I5" s="29">
        <f t="shared" si="4"/>
        <v>3.9484160479131919E-2</v>
      </c>
      <c r="J5" s="32">
        <f>H5/I5</f>
        <v>24.022792577475602</v>
      </c>
      <c r="L5" s="32">
        <f t="shared" si="3"/>
        <v>141.36595890410956</v>
      </c>
      <c r="M5" s="32">
        <f>SQRT((L5-L4)/(C5-C4))</f>
        <v>25.724712826385446</v>
      </c>
      <c r="N5" s="36" t="s">
        <v>51</v>
      </c>
    </row>
    <row r="6" spans="1:16">
      <c r="A6" s="34" t="s">
        <v>19</v>
      </c>
      <c r="B6">
        <v>133</v>
      </c>
      <c r="C6" s="33">
        <f t="shared" si="0"/>
        <v>0.36438356164383562</v>
      </c>
      <c r="D6" s="28">
        <v>25.61</v>
      </c>
      <c r="E6" s="28">
        <f t="shared" si="1"/>
        <v>6.1837077780997625</v>
      </c>
      <c r="F6" s="3">
        <f t="shared" si="2"/>
        <v>0.24145676603279043</v>
      </c>
      <c r="H6" s="30">
        <f t="shared" si="4"/>
        <v>1.4278110777226898</v>
      </c>
      <c r="I6" s="29">
        <f t="shared" si="4"/>
        <v>6.6285616847631179E-2</v>
      </c>
      <c r="J6" s="32">
        <f>H6/I6</f>
        <v>21.540284991309015</v>
      </c>
      <c r="L6" s="32">
        <f t="shared" si="3"/>
        <v>238.9890117808219</v>
      </c>
      <c r="M6" s="32">
        <f>SQRT((L6-L5)/(C6-C5))</f>
        <v>23.782217679976313</v>
      </c>
      <c r="N6" s="35" t="s">
        <v>18</v>
      </c>
    </row>
    <row r="7" spans="1:16">
      <c r="A7" s="34" t="s">
        <v>17</v>
      </c>
      <c r="B7">
        <v>224</v>
      </c>
      <c r="C7" s="33">
        <f t="shared" si="0"/>
        <v>0.61369863013698633</v>
      </c>
      <c r="D7" s="28">
        <v>25.08</v>
      </c>
      <c r="E7" s="28">
        <f t="shared" si="1"/>
        <v>7.8589603997210444</v>
      </c>
      <c r="F7" s="3">
        <f t="shared" si="2"/>
        <v>0.31335567781981838</v>
      </c>
      <c r="H7" s="30">
        <f t="shared" si="4"/>
        <v>1.675252621621282</v>
      </c>
      <c r="I7" s="29">
        <f t="shared" si="4"/>
        <v>7.1898911787027953E-2</v>
      </c>
      <c r="J7" s="32">
        <f>H7/I7</f>
        <v>23.300110947208136</v>
      </c>
      <c r="L7" s="32">
        <f t="shared" si="3"/>
        <v>386.02036602739719</v>
      </c>
      <c r="M7" s="32">
        <f>SQRT((L7-L6)/(C7-C6))</f>
        <v>24.284586596313428</v>
      </c>
    </row>
    <row r="8" spans="1:16">
      <c r="A8" s="34" t="s">
        <v>16</v>
      </c>
      <c r="B8">
        <v>315</v>
      </c>
      <c r="C8" s="33">
        <f t="shared" si="0"/>
        <v>0.86301369863013699</v>
      </c>
      <c r="D8" s="28">
        <v>24.71</v>
      </c>
      <c r="E8" s="28">
        <f t="shared" si="1"/>
        <v>9.1820907637923384</v>
      </c>
      <c r="F8" s="3">
        <f t="shared" si="2"/>
        <v>0.37159412237119943</v>
      </c>
      <c r="H8" s="30">
        <f t="shared" si="4"/>
        <v>1.3231303640712939</v>
      </c>
      <c r="I8" s="29">
        <f t="shared" si="4"/>
        <v>5.8238444551381052E-2</v>
      </c>
      <c r="J8" s="32">
        <f>H8/I8</f>
        <v>22.71919132221943</v>
      </c>
      <c r="L8" s="32">
        <f t="shared" si="3"/>
        <v>526.94244246575352</v>
      </c>
      <c r="M8" s="32">
        <f>SQRT((L8-L7)/(C8-C7))</f>
        <v>23.774711354714711</v>
      </c>
    </row>
    <row r="9" spans="1:16">
      <c r="C9" s="31"/>
      <c r="D9" s="31"/>
      <c r="E9" s="28"/>
      <c r="F9" s="3"/>
      <c r="H9" s="30"/>
      <c r="I9" s="29"/>
      <c r="J9" s="28"/>
    </row>
    <row r="10" spans="1:16">
      <c r="C10" s="31"/>
      <c r="D10" s="31"/>
      <c r="E10" s="28"/>
      <c r="F10" s="3"/>
      <c r="H10" s="30"/>
      <c r="I10" s="29"/>
      <c r="J10" s="28"/>
    </row>
  </sheetData>
  <mergeCells count="2">
    <mergeCell ref="E1:F1"/>
    <mergeCell ref="H1:J1"/>
  </mergeCells>
  <phoneticPr fontId="4"/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D98B30-1331-4C38-8921-0844C9C21020}">
  <sheetPr codeName="Sheet9"/>
  <dimension ref="A1:J11"/>
  <sheetViews>
    <sheetView workbookViewId="0">
      <selection activeCell="F9" sqref="F9"/>
    </sheetView>
  </sheetViews>
  <sheetFormatPr defaultRowHeight="14"/>
  <cols>
    <col min="1" max="1" width="14.296875" style="71" bestFit="1" customWidth="1"/>
    <col min="2" max="2" width="7.3984375" style="71" bestFit="1" customWidth="1"/>
    <col min="3" max="4" width="9.296875" style="71" bestFit="1" customWidth="1"/>
    <col min="5" max="6" width="9.09765625" style="71" customWidth="1"/>
    <col min="7" max="7" width="9.296875" style="71" bestFit="1" customWidth="1"/>
    <col min="8" max="8" width="19.3984375" style="71" bestFit="1" customWidth="1"/>
    <col min="9" max="9" width="8.796875" style="71"/>
    <col min="10" max="10" width="7" style="71" bestFit="1" customWidth="1"/>
    <col min="11" max="16384" width="8.796875" style="71"/>
  </cols>
  <sheetData>
    <row r="1" spans="1:10">
      <c r="A1" s="69" t="s">
        <v>73</v>
      </c>
      <c r="B1" s="70">
        <v>1</v>
      </c>
      <c r="C1" s="70">
        <v>2</v>
      </c>
      <c r="D1" s="70">
        <v>3</v>
      </c>
      <c r="E1" s="70">
        <v>4</v>
      </c>
      <c r="F1" s="70">
        <v>5</v>
      </c>
      <c r="G1" s="70">
        <v>6</v>
      </c>
      <c r="H1" s="79" t="s">
        <v>85</v>
      </c>
      <c r="J1" s="69"/>
    </row>
    <row r="2" spans="1:10">
      <c r="A2" s="69"/>
      <c r="B2" s="81" t="s">
        <v>74</v>
      </c>
      <c r="C2" s="81"/>
      <c r="D2" s="81"/>
      <c r="E2" s="81"/>
      <c r="F2" s="81"/>
      <c r="G2" s="81"/>
      <c r="H2" s="69"/>
      <c r="J2" s="69"/>
    </row>
    <row r="3" spans="1:10">
      <c r="A3" s="69" t="s">
        <v>71</v>
      </c>
      <c r="B3" s="72">
        <v>15.59</v>
      </c>
      <c r="C3" s="72">
        <v>16.57</v>
      </c>
      <c r="D3" s="72">
        <v>17.510000000000002</v>
      </c>
      <c r="E3" s="72"/>
      <c r="F3" s="72"/>
      <c r="G3" s="72">
        <v>19.09</v>
      </c>
      <c r="H3" s="69"/>
      <c r="I3" s="69"/>
      <c r="J3" s="69"/>
    </row>
    <row r="4" spans="1:10">
      <c r="A4" s="69"/>
      <c r="B4" s="81" t="s">
        <v>75</v>
      </c>
      <c r="C4" s="81"/>
      <c r="D4" s="81"/>
      <c r="E4" s="81"/>
      <c r="F4" s="81"/>
      <c r="G4" s="81"/>
      <c r="H4" s="69"/>
      <c r="I4" s="69"/>
    </row>
    <row r="5" spans="1:10">
      <c r="A5" s="69" t="s">
        <v>72</v>
      </c>
      <c r="B5" s="73">
        <f>B1*B3^2</f>
        <v>243.04810000000001</v>
      </c>
      <c r="C5" s="73">
        <f>C1*C3^2</f>
        <v>549.12980000000005</v>
      </c>
      <c r="D5" s="73">
        <f>D1*D3^2</f>
        <v>919.80030000000011</v>
      </c>
      <c r="E5" s="69"/>
      <c r="F5" s="69"/>
      <c r="G5" s="73">
        <f>G1*G3^2</f>
        <v>2186.5685999999996</v>
      </c>
      <c r="H5" s="76" t="s">
        <v>83</v>
      </c>
      <c r="I5" s="69"/>
    </row>
    <row r="6" spans="1:10">
      <c r="A6" s="69" t="s">
        <v>76</v>
      </c>
      <c r="B6" s="73">
        <f>B5</f>
        <v>243.04810000000001</v>
      </c>
      <c r="C6" s="73">
        <f>C5-B5</f>
        <v>306.08170000000007</v>
      </c>
      <c r="D6" s="73">
        <f>D5-C5</f>
        <v>370.67050000000006</v>
      </c>
      <c r="H6" s="77" t="s">
        <v>84</v>
      </c>
    </row>
    <row r="7" spans="1:10">
      <c r="A7" s="69"/>
      <c r="B7" s="81" t="s">
        <v>77</v>
      </c>
      <c r="C7" s="81"/>
      <c r="D7" s="81"/>
      <c r="E7" s="81"/>
      <c r="F7" s="81"/>
      <c r="G7" s="81"/>
      <c r="H7" s="77"/>
    </row>
    <row r="8" spans="1:10">
      <c r="A8" s="69" t="s">
        <v>78</v>
      </c>
      <c r="H8" s="78" t="s">
        <v>79</v>
      </c>
    </row>
    <row r="9" spans="1:10">
      <c r="A9" s="74">
        <v>1</v>
      </c>
      <c r="B9" s="75">
        <f>C6^0.5</f>
        <v>17.495190767751009</v>
      </c>
      <c r="C9" s="75">
        <f>((D5-B5)/2)^0.5</f>
        <v>18.395002038597333</v>
      </c>
      <c r="F9" s="75">
        <f>((G5-B5)/5)^0.5</f>
        <v>19.715580133488334</v>
      </c>
      <c r="H9" s="77" t="s">
        <v>80</v>
      </c>
    </row>
    <row r="10" spans="1:10">
      <c r="A10" s="74">
        <v>2</v>
      </c>
      <c r="B10" s="75">
        <f>D6^0.5</f>
        <v>19.252804990442304</v>
      </c>
      <c r="H10" s="77" t="s">
        <v>81</v>
      </c>
    </row>
    <row r="11" spans="1:10">
      <c r="H11" s="77" t="s">
        <v>82</v>
      </c>
    </row>
  </sheetData>
  <mergeCells count="3">
    <mergeCell ref="B4:G4"/>
    <mergeCell ref="B7:G7"/>
    <mergeCell ref="B2:G2"/>
  </mergeCells>
  <phoneticPr fontId="4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6"/>
  <dimension ref="A1:C12"/>
  <sheetViews>
    <sheetView zoomScaleNormal="100" workbookViewId="0">
      <selection activeCell="B12" sqref="B12"/>
    </sheetView>
  </sheetViews>
  <sheetFormatPr defaultColWidth="9.19921875" defaultRowHeight="14"/>
  <cols>
    <col min="1" max="1" width="22.8984375" style="63" bestFit="1" customWidth="1"/>
    <col min="2" max="2" width="14.296875" style="63" bestFit="1" customWidth="1"/>
    <col min="3" max="3" width="13.8984375" style="63" bestFit="1" customWidth="1"/>
    <col min="4" max="16384" width="9.19921875" style="63"/>
  </cols>
  <sheetData>
    <row r="1" spans="1:3">
      <c r="A1" s="63" t="s">
        <v>64</v>
      </c>
      <c r="B1" s="66">
        <v>18.279</v>
      </c>
    </row>
    <row r="2" spans="1:3">
      <c r="A2" s="63" t="s">
        <v>63</v>
      </c>
      <c r="B2" s="66">
        <f>18.279*2</f>
        <v>36.558</v>
      </c>
      <c r="C2" s="64" t="s">
        <v>62</v>
      </c>
    </row>
    <row r="3" spans="1:3">
      <c r="A3" s="63" t="s">
        <v>61</v>
      </c>
      <c r="B3" s="67">
        <f>100000/B2</f>
        <v>2735.3793971223809</v>
      </c>
      <c r="C3" s="64" t="s">
        <v>60</v>
      </c>
    </row>
    <row r="4" spans="1:3">
      <c r="A4" s="63" t="s">
        <v>59</v>
      </c>
      <c r="B4" s="66">
        <v>17.279</v>
      </c>
    </row>
    <row r="5" spans="1:3">
      <c r="A5" s="63" t="s">
        <v>58</v>
      </c>
      <c r="B5" s="66">
        <f>17.279^2</f>
        <v>298.56384100000002</v>
      </c>
      <c r="C5" s="64" t="s">
        <v>57</v>
      </c>
    </row>
    <row r="6" spans="1:3">
      <c r="A6" s="63" t="s">
        <v>56</v>
      </c>
      <c r="B6" s="66">
        <f>18.279^2</f>
        <v>334.12184100000002</v>
      </c>
      <c r="C6" s="64" t="s">
        <v>55</v>
      </c>
    </row>
    <row r="7" spans="1:3">
      <c r="A7" s="63" t="s">
        <v>54</v>
      </c>
      <c r="B7" s="66">
        <f>B5-B6</f>
        <v>-35.557999999999993</v>
      </c>
      <c r="C7" s="65" t="s">
        <v>53</v>
      </c>
    </row>
    <row r="8" spans="1:3">
      <c r="A8" s="63" t="s">
        <v>69</v>
      </c>
      <c r="B8" s="67">
        <f>B3*B7</f>
        <v>-97264.620602877592</v>
      </c>
      <c r="C8" s="64" t="s">
        <v>52</v>
      </c>
    </row>
    <row r="10" spans="1:3">
      <c r="A10" s="63" t="s">
        <v>66</v>
      </c>
      <c r="B10" s="68">
        <v>-6.0000000000000002E-5</v>
      </c>
    </row>
    <row r="11" spans="1:3">
      <c r="A11" s="63" t="s">
        <v>65</v>
      </c>
      <c r="B11" s="63">
        <f>1/(1+B10*89/365)</f>
        <v>1.0000146303510304</v>
      </c>
      <c r="C11" s="64" t="s">
        <v>67</v>
      </c>
    </row>
    <row r="12" spans="1:3">
      <c r="A12" s="63" t="s">
        <v>70</v>
      </c>
      <c r="B12" s="67">
        <f>B8*B11</f>
        <v>-97266.043618419862</v>
      </c>
      <c r="C12" s="64" t="s">
        <v>68</v>
      </c>
    </row>
  </sheetData>
  <phoneticPr fontId="4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2"/>
  <dimension ref="A1:D22"/>
  <sheetViews>
    <sheetView showGridLines="0" workbookViewId="0"/>
  </sheetViews>
  <sheetFormatPr defaultColWidth="9.19921875" defaultRowHeight="12"/>
  <cols>
    <col min="1" max="1" width="4" style="22" bestFit="1" customWidth="1"/>
    <col min="2" max="4" width="8.5" style="22" customWidth="1"/>
    <col min="5" max="16384" width="9.19921875" style="22"/>
  </cols>
  <sheetData>
    <row r="1" spans="1:4" ht="24">
      <c r="A1" s="24" t="s">
        <v>13</v>
      </c>
      <c r="B1" s="26" t="s">
        <v>14</v>
      </c>
      <c r="C1" s="27" t="s">
        <v>15</v>
      </c>
      <c r="D1" s="23" t="s">
        <v>12</v>
      </c>
    </row>
    <row r="2" spans="1:4">
      <c r="A2" s="22">
        <v>80</v>
      </c>
      <c r="B2" s="25">
        <f t="shared" ref="B2:B22" si="0">(A2-100)/100</f>
        <v>-0.2</v>
      </c>
      <c r="C2" s="25">
        <f t="shared" ref="C2:C22" si="1">-LN(A2/100)</f>
        <v>0.22314355131420971</v>
      </c>
      <c r="D2" s="25">
        <f t="shared" ref="D2:D22" si="2">8*(B2+C2)</f>
        <v>0.18514841051367759</v>
      </c>
    </row>
    <row r="3" spans="1:4">
      <c r="A3" s="22">
        <v>82</v>
      </c>
      <c r="B3" s="25">
        <f t="shared" si="0"/>
        <v>-0.18</v>
      </c>
      <c r="C3" s="25">
        <f t="shared" si="1"/>
        <v>0.19845093872383832</v>
      </c>
      <c r="D3" s="25">
        <f t="shared" si="2"/>
        <v>0.14760750979070658</v>
      </c>
    </row>
    <row r="4" spans="1:4">
      <c r="A4" s="22">
        <v>84</v>
      </c>
      <c r="B4" s="25">
        <f t="shared" si="0"/>
        <v>-0.16</v>
      </c>
      <c r="C4" s="25">
        <f t="shared" si="1"/>
        <v>0.1743533871447778</v>
      </c>
      <c r="D4" s="25">
        <f t="shared" si="2"/>
        <v>0.11482709715822237</v>
      </c>
    </row>
    <row r="5" spans="1:4">
      <c r="A5" s="22">
        <v>86</v>
      </c>
      <c r="B5" s="25">
        <f t="shared" si="0"/>
        <v>-0.14000000000000001</v>
      </c>
      <c r="C5" s="25">
        <f t="shared" si="1"/>
        <v>0.15082288973458366</v>
      </c>
      <c r="D5" s="25">
        <f t="shared" si="2"/>
        <v>8.6583117876669169E-2</v>
      </c>
    </row>
    <row r="6" spans="1:4">
      <c r="A6" s="22">
        <v>88</v>
      </c>
      <c r="B6" s="25">
        <f t="shared" si="0"/>
        <v>-0.12</v>
      </c>
      <c r="C6" s="25">
        <f t="shared" si="1"/>
        <v>0.12783337150988489</v>
      </c>
      <c r="D6" s="25">
        <f t="shared" si="2"/>
        <v>6.266697207907912E-2</v>
      </c>
    </row>
    <row r="7" spans="1:4">
      <c r="A7" s="22">
        <v>90</v>
      </c>
      <c r="B7" s="25">
        <f t="shared" si="0"/>
        <v>-0.1</v>
      </c>
      <c r="C7" s="25">
        <f t="shared" si="1"/>
        <v>0.10536051565782628</v>
      </c>
      <c r="D7" s="25">
        <f t="shared" si="2"/>
        <v>4.2884125262610207E-2</v>
      </c>
    </row>
    <row r="8" spans="1:4">
      <c r="A8" s="22">
        <v>92</v>
      </c>
      <c r="B8" s="25">
        <f t="shared" si="0"/>
        <v>-0.08</v>
      </c>
      <c r="C8" s="25">
        <f t="shared" si="1"/>
        <v>8.3381608939051013E-2</v>
      </c>
      <c r="D8" s="25">
        <f t="shared" si="2"/>
        <v>2.7052871512408094E-2</v>
      </c>
    </row>
    <row r="9" spans="1:4">
      <c r="A9" s="22">
        <v>94</v>
      </c>
      <c r="B9" s="25">
        <f t="shared" si="0"/>
        <v>-0.06</v>
      </c>
      <c r="C9" s="25">
        <f t="shared" si="1"/>
        <v>6.1875403718087529E-2</v>
      </c>
      <c r="D9" s="25">
        <f t="shared" si="2"/>
        <v>1.5003229744700253E-2</v>
      </c>
    </row>
    <row r="10" spans="1:4">
      <c r="A10" s="22">
        <v>96</v>
      </c>
      <c r="B10" s="25">
        <f t="shared" si="0"/>
        <v>-0.04</v>
      </c>
      <c r="C10" s="25">
        <f t="shared" si="1"/>
        <v>4.0821994520255166E-2</v>
      </c>
      <c r="D10" s="25">
        <f t="shared" si="2"/>
        <v>6.5759561620413187E-3</v>
      </c>
    </row>
    <row r="11" spans="1:4">
      <c r="A11" s="22">
        <v>98</v>
      </c>
      <c r="B11" s="25">
        <f t="shared" si="0"/>
        <v>-0.02</v>
      </c>
      <c r="C11" s="25">
        <f t="shared" si="1"/>
        <v>2.0202707317519466E-2</v>
      </c>
      <c r="D11" s="25">
        <f t="shared" si="2"/>
        <v>1.6216585401557237E-3</v>
      </c>
    </row>
    <row r="12" spans="1:4">
      <c r="A12" s="22">
        <v>100</v>
      </c>
      <c r="B12" s="25">
        <f t="shared" si="0"/>
        <v>0</v>
      </c>
      <c r="C12" s="25">
        <f t="shared" si="1"/>
        <v>0</v>
      </c>
      <c r="D12" s="25">
        <f t="shared" si="2"/>
        <v>0</v>
      </c>
    </row>
    <row r="13" spans="1:4">
      <c r="A13" s="22">
        <v>102</v>
      </c>
      <c r="B13" s="25">
        <f t="shared" si="0"/>
        <v>0.02</v>
      </c>
      <c r="C13" s="25">
        <f t="shared" si="1"/>
        <v>-1.980262729617973E-2</v>
      </c>
      <c r="D13" s="25">
        <f t="shared" si="2"/>
        <v>1.5789816305621651E-3</v>
      </c>
    </row>
    <row r="14" spans="1:4">
      <c r="A14" s="22">
        <v>104</v>
      </c>
      <c r="B14" s="25">
        <f t="shared" si="0"/>
        <v>0.04</v>
      </c>
      <c r="C14" s="25">
        <f t="shared" si="1"/>
        <v>-3.9220713153281329E-2</v>
      </c>
      <c r="D14" s="25">
        <f t="shared" si="2"/>
        <v>6.2342947737493715E-3</v>
      </c>
    </row>
    <row r="15" spans="1:4">
      <c r="A15" s="22">
        <v>106</v>
      </c>
      <c r="B15" s="25">
        <f t="shared" si="0"/>
        <v>0.06</v>
      </c>
      <c r="C15" s="25">
        <f t="shared" si="1"/>
        <v>-5.8268908123975824E-2</v>
      </c>
      <c r="D15" s="25">
        <f t="shared" si="2"/>
        <v>1.3848735008193391E-2</v>
      </c>
    </row>
    <row r="16" spans="1:4">
      <c r="A16" s="22">
        <v>108</v>
      </c>
      <c r="B16" s="25">
        <f t="shared" si="0"/>
        <v>0.08</v>
      </c>
      <c r="C16" s="25">
        <f t="shared" si="1"/>
        <v>-7.6961041136128394E-2</v>
      </c>
      <c r="D16" s="25">
        <f t="shared" si="2"/>
        <v>2.431167091097286E-2</v>
      </c>
    </row>
    <row r="17" spans="1:4">
      <c r="A17" s="22">
        <v>110</v>
      </c>
      <c r="B17" s="25">
        <f t="shared" si="0"/>
        <v>0.1</v>
      </c>
      <c r="C17" s="25">
        <f t="shared" si="1"/>
        <v>-9.5310179804324935E-2</v>
      </c>
      <c r="D17" s="25">
        <f t="shared" si="2"/>
        <v>3.7518561565400566E-2</v>
      </c>
    </row>
    <row r="18" spans="1:4">
      <c r="A18" s="22">
        <v>112</v>
      </c>
      <c r="B18" s="25">
        <f t="shared" si="0"/>
        <v>0.12</v>
      </c>
      <c r="C18" s="25">
        <f t="shared" si="1"/>
        <v>-0.11332868530700327</v>
      </c>
      <c r="D18" s="25">
        <f t="shared" si="2"/>
        <v>5.3370517543973817E-2</v>
      </c>
    </row>
    <row r="19" spans="1:4">
      <c r="A19" s="22">
        <v>114</v>
      </c>
      <c r="B19" s="25">
        <f t="shared" si="0"/>
        <v>0.14000000000000001</v>
      </c>
      <c r="C19" s="25">
        <f t="shared" si="1"/>
        <v>-0.131028262406404</v>
      </c>
      <c r="D19" s="25">
        <f t="shared" si="2"/>
        <v>7.1773900748768105E-2</v>
      </c>
    </row>
    <row r="20" spans="1:4">
      <c r="A20" s="22">
        <v>116</v>
      </c>
      <c r="B20" s="25">
        <f t="shared" si="0"/>
        <v>0.16</v>
      </c>
      <c r="C20" s="25">
        <f t="shared" si="1"/>
        <v>-0.14842000511827322</v>
      </c>
      <c r="D20" s="25">
        <f t="shared" si="2"/>
        <v>9.263995905381428E-2</v>
      </c>
    </row>
    <row r="21" spans="1:4">
      <c r="A21" s="22">
        <v>118</v>
      </c>
      <c r="B21" s="25">
        <f t="shared" si="0"/>
        <v>0.18</v>
      </c>
      <c r="C21" s="25">
        <f t="shared" si="1"/>
        <v>-0.16551443847757333</v>
      </c>
      <c r="D21" s="25">
        <f t="shared" si="2"/>
        <v>0.11588449217941332</v>
      </c>
    </row>
    <row r="22" spans="1:4">
      <c r="A22" s="22">
        <v>120</v>
      </c>
      <c r="B22" s="25">
        <f t="shared" si="0"/>
        <v>0.2</v>
      </c>
      <c r="C22" s="25">
        <f t="shared" si="1"/>
        <v>-0.18232155679395459</v>
      </c>
      <c r="D22" s="25">
        <f t="shared" si="2"/>
        <v>0.14142754564836335</v>
      </c>
    </row>
  </sheetData>
  <phoneticPr fontId="4"/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1"/>
  <dimension ref="B1:M28"/>
  <sheetViews>
    <sheetView showGridLines="0" zoomScaleNormal="100" workbookViewId="0"/>
  </sheetViews>
  <sheetFormatPr defaultRowHeight="12"/>
  <cols>
    <col min="1" max="1" width="4.69921875" customWidth="1"/>
    <col min="2" max="2" width="5.69921875" style="1" customWidth="1"/>
    <col min="3" max="4" width="7.69921875" style="1" customWidth="1"/>
    <col min="5" max="5" width="4.19921875" style="1" customWidth="1"/>
    <col min="6" max="6" width="7.69921875" style="1" customWidth="1"/>
    <col min="7" max="7" width="6" style="1" customWidth="1"/>
    <col min="8" max="8" width="4.19921875" style="1" customWidth="1"/>
    <col min="9" max="9" width="6.69921875" style="1" customWidth="1"/>
    <col min="10" max="10" width="9.5" style="1" bestFit="1" customWidth="1"/>
    <col min="11" max="11" width="1.19921875" style="1" customWidth="1"/>
    <col min="12" max="12" width="7.796875" customWidth="1"/>
    <col min="13" max="13" width="6.5" customWidth="1"/>
    <col min="14" max="14" width="10.69921875" customWidth="1"/>
  </cols>
  <sheetData>
    <row r="1" spans="2:13">
      <c r="B1" s="11" t="s">
        <v>3</v>
      </c>
      <c r="C1" s="11" t="s">
        <v>4</v>
      </c>
      <c r="D1" s="11" t="s">
        <v>5</v>
      </c>
      <c r="E1" s="11" t="s">
        <v>6</v>
      </c>
      <c r="F1" s="11" t="s">
        <v>2</v>
      </c>
    </row>
    <row r="2" spans="2:13">
      <c r="B2" s="1">
        <v>100</v>
      </c>
      <c r="C2" s="1">
        <v>0.25</v>
      </c>
      <c r="D2" s="2">
        <v>0.05</v>
      </c>
      <c r="E2" s="2">
        <v>0</v>
      </c>
      <c r="F2" s="3">
        <f>EXP(D2*C2)</f>
        <v>1.0125784515406344</v>
      </c>
    </row>
    <row r="3" spans="2:13">
      <c r="F3" s="21"/>
      <c r="G3" s="6"/>
      <c r="H3" s="6"/>
      <c r="I3" s="19" t="s">
        <v>8</v>
      </c>
      <c r="J3" s="1" t="s">
        <v>11</v>
      </c>
      <c r="L3" s="84" t="s">
        <v>44</v>
      </c>
      <c r="M3" s="84"/>
    </row>
    <row r="4" spans="2:13">
      <c r="B4" s="11" t="s">
        <v>7</v>
      </c>
      <c r="C4" s="11" t="s">
        <v>10</v>
      </c>
      <c r="D4" s="11" t="s">
        <v>0</v>
      </c>
      <c r="E4" s="11"/>
      <c r="F4" s="60" t="s">
        <v>45</v>
      </c>
      <c r="G4" s="11" t="s">
        <v>1</v>
      </c>
      <c r="H4" s="11"/>
      <c r="I4" s="11" t="s">
        <v>9</v>
      </c>
      <c r="J4" s="11" t="s">
        <v>9</v>
      </c>
      <c r="L4" s="11" t="s">
        <v>39</v>
      </c>
      <c r="M4" s="11" t="s">
        <v>1</v>
      </c>
    </row>
    <row r="5" spans="2:13">
      <c r="B5" s="1">
        <v>45</v>
      </c>
      <c r="D5" s="3">
        <f xml:space="preserve"> 2 /$C$2 * ((B5 - $B$2) / $B$2 - LN(B5 / $B$2))</f>
        <v>1.9880615697421726</v>
      </c>
      <c r="E5" s="3"/>
      <c r="F5" s="3"/>
      <c r="G5" s="47">
        <f>SUM(G6:G24)</f>
        <v>0.99999999999999989</v>
      </c>
      <c r="H5" s="48"/>
      <c r="J5" s="20" t="s">
        <v>49</v>
      </c>
      <c r="M5" s="47">
        <f>SUM(M6:M24)</f>
        <v>0.99999999999999967</v>
      </c>
    </row>
    <row r="6" spans="2:13">
      <c r="B6" s="1">
        <v>50</v>
      </c>
      <c r="C6" s="4">
        <v>0.3000000000000001</v>
      </c>
      <c r="D6" s="3">
        <f t="shared" ref="D6:D14" si="0" xml:space="preserve"> 2 /$C$2 * ((B6 - $B$2) / $B$2 - LN(B6 / $B$2))</f>
        <v>1.5451774444795623</v>
      </c>
      <c r="E6" s="3"/>
      <c r="F6" s="3">
        <f>-(D5-D6)/(B5-B6)*10000-SUM(F7:$F$16)</f>
        <v>160.80537365602231</v>
      </c>
      <c r="G6" s="42">
        <f t="shared" ref="G6:G24" si="1">F6/SUM($F$6:$F$24)</f>
        <v>0.14567209099859227</v>
      </c>
      <c r="H6" s="42"/>
      <c r="I6" s="3">
        <f t="shared" ref="I6:I16" si="2">bsput($B$2,B6,$C$2,$D$2,$E$2,C6)</f>
        <v>2.6332580924207669E-6</v>
      </c>
      <c r="J6" s="7">
        <f t="shared" ref="J6:J24" si="3">I6*F6</f>
        <v>4.2344205148446594E-4</v>
      </c>
      <c r="L6" s="51">
        <f t="shared" ref="L6:L14" si="4">((B7-B5)/2)/B6^2</f>
        <v>2E-3</v>
      </c>
      <c r="M6" s="42">
        <f>L6/SUM($L$6:$L$24)</f>
        <v>0.14533467451897189</v>
      </c>
    </row>
    <row r="7" spans="2:13">
      <c r="B7" s="1">
        <v>55</v>
      </c>
      <c r="C7" s="4">
        <v>0.29000000000000009</v>
      </c>
      <c r="D7" s="3">
        <f t="shared" si="0"/>
        <v>1.1826960060449632</v>
      </c>
      <c r="E7" s="3"/>
      <c r="F7" s="3">
        <f>-(D6-D7)/(B6-B7)*10000-SUM(F8:$F$16)</f>
        <v>132.78084503512309</v>
      </c>
      <c r="G7" s="42">
        <f t="shared" si="1"/>
        <v>0.12028493141156937</v>
      </c>
      <c r="H7" s="42"/>
      <c r="I7" s="3">
        <f t="shared" si="2"/>
        <v>2.9533956846534721E-5</v>
      </c>
      <c r="J7" s="7">
        <f t="shared" si="3"/>
        <v>3.9215437473137391E-3</v>
      </c>
      <c r="L7" s="51">
        <f t="shared" si="4"/>
        <v>1.652892561983471E-3</v>
      </c>
      <c r="M7" s="42">
        <f t="shared" ref="M7:M24" si="5">L7/SUM($L$6:$L$24)</f>
        <v>0.12011130125534866</v>
      </c>
    </row>
    <row r="8" spans="2:13">
      <c r="B8" s="1">
        <v>60</v>
      </c>
      <c r="C8" s="4">
        <v>0.28000000000000008</v>
      </c>
      <c r="D8" s="3">
        <f t="shared" si="0"/>
        <v>0.8866049901279256</v>
      </c>
      <c r="E8" s="3"/>
      <c r="F8" s="3">
        <f>-(D7-D8)/(B7-B8)*10000-SUM(F9:$F$16)</f>
        <v>111.49870905749202</v>
      </c>
      <c r="G8" s="42">
        <f t="shared" si="1"/>
        <v>0.10100564255266885</v>
      </c>
      <c r="H8" s="42"/>
      <c r="I8" s="3">
        <f t="shared" si="2"/>
        <v>2.3779173572402359E-4</v>
      </c>
      <c r="J8" s="7">
        <f t="shared" si="3"/>
        <v>2.6513471557768939E-2</v>
      </c>
      <c r="L8" s="51">
        <f t="shared" si="4"/>
        <v>1.3888888888888889E-3</v>
      </c>
      <c r="M8" s="42">
        <f t="shared" si="5"/>
        <v>0.10092685730484159</v>
      </c>
    </row>
    <row r="9" spans="2:13">
      <c r="B9" s="1">
        <v>65</v>
      </c>
      <c r="C9" s="4">
        <v>0.27000000000000007</v>
      </c>
      <c r="D9" s="3">
        <f t="shared" si="0"/>
        <v>0.64626332873963399</v>
      </c>
      <c r="E9" s="3"/>
      <c r="F9" s="3">
        <f>-(D8-D9)/(B8-B9)*10000-SUM(F10:$F$16)</f>
        <v>94.955768317034483</v>
      </c>
      <c r="G9" s="42">
        <f t="shared" si="1"/>
        <v>8.6019546540211364E-2</v>
      </c>
      <c r="H9" s="42"/>
      <c r="I9" s="3">
        <f t="shared" si="2"/>
        <v>1.4620683883181385E-3</v>
      </c>
      <c r="J9" s="7">
        <f t="shared" si="3"/>
        <v>0.13883182714479717</v>
      </c>
      <c r="L9" s="51">
        <f t="shared" si="4"/>
        <v>1.1834319526627219E-3</v>
      </c>
      <c r="M9" s="42">
        <f t="shared" si="5"/>
        <v>8.5996848827794015E-2</v>
      </c>
    </row>
    <row r="10" spans="2:13">
      <c r="B10" s="1">
        <v>70</v>
      </c>
      <c r="C10" s="4">
        <v>0.26000000000000006</v>
      </c>
      <c r="D10" s="3">
        <f t="shared" si="0"/>
        <v>0.45339955150985967</v>
      </c>
      <c r="E10" s="3"/>
      <c r="F10" s="3">
        <f>-(D9-D10)/(B9-B10)*10000-SUM(F11:$F$16)</f>
        <v>81.841610668323767</v>
      </c>
      <c r="G10" s="42">
        <f t="shared" si="1"/>
        <v>7.4139553210763778E-2</v>
      </c>
      <c r="H10" s="42"/>
      <c r="I10" s="3">
        <f t="shared" si="2"/>
        <v>7.1793854992107109E-3</v>
      </c>
      <c r="J10" s="7">
        <f t="shared" si="3"/>
        <v>0.58757247286421233</v>
      </c>
      <c r="L10" s="51">
        <f t="shared" si="4"/>
        <v>1.0204081632653062E-3</v>
      </c>
      <c r="M10" s="42">
        <f t="shared" si="5"/>
        <v>7.4150344142332597E-2</v>
      </c>
    </row>
    <row r="11" spans="2:13">
      <c r="B11" s="1">
        <v>75</v>
      </c>
      <c r="C11" s="4">
        <v>0.25000000000000006</v>
      </c>
      <c r="D11" s="3">
        <f t="shared" si="0"/>
        <v>0.30145657961424721</v>
      </c>
      <c r="E11" s="3"/>
      <c r="F11" s="3">
        <f>-(D10-D11)/(B10-B11)*10000-SUM(F12:$F$16)</f>
        <v>71.269605590085661</v>
      </c>
      <c r="G11" s="42">
        <f t="shared" si="1"/>
        <v>6.4562472229073561E-2</v>
      </c>
      <c r="H11" s="42"/>
      <c r="I11" s="3">
        <f t="shared" si="2"/>
        <v>2.9091125995352907E-2</v>
      </c>
      <c r="J11" s="7">
        <f t="shared" si="3"/>
        <v>2.0733130758602898</v>
      </c>
      <c r="L11" s="51">
        <f t="shared" si="4"/>
        <v>8.8888888888888893E-4</v>
      </c>
      <c r="M11" s="42">
        <f t="shared" si="5"/>
        <v>6.4593188675098626E-2</v>
      </c>
    </row>
    <row r="12" spans="2:13">
      <c r="B12" s="1">
        <v>80</v>
      </c>
      <c r="C12" s="4">
        <v>0.24000000000000005</v>
      </c>
      <c r="D12" s="3">
        <f t="shared" si="0"/>
        <v>0.18514841051367759</v>
      </c>
      <c r="E12" s="3"/>
      <c r="F12" s="3">
        <f>-(D11-D12)/(B11-B12)*10000-SUM(F13:$F$16)</f>
        <v>62.622389138183166</v>
      </c>
      <c r="G12" s="42">
        <f t="shared" si="1"/>
        <v>5.6729039345415143E-2</v>
      </c>
      <c r="H12" s="42"/>
      <c r="I12" s="3">
        <f t="shared" si="2"/>
        <v>9.9621821977277314E-2</v>
      </c>
      <c r="J12" s="7">
        <f t="shared" si="3"/>
        <v>6.238556502515868</v>
      </c>
      <c r="L12" s="51">
        <f t="shared" si="4"/>
        <v>7.8125000000000004E-4</v>
      </c>
      <c r="M12" s="42">
        <f t="shared" si="5"/>
        <v>5.6771357233973398E-2</v>
      </c>
    </row>
    <row r="13" spans="2:13">
      <c r="B13" s="1">
        <v>85</v>
      </c>
      <c r="C13" s="4">
        <v>0.23000000000000004</v>
      </c>
      <c r="D13" s="3">
        <f t="shared" si="0"/>
        <v>0.10015143598219955</v>
      </c>
      <c r="E13" s="3"/>
      <c r="F13" s="3">
        <f>-(D12-D13)/(B12-B13)*10000-SUM(F14:$F$16)</f>
        <v>55.459327623777369</v>
      </c>
      <c r="G13" s="42">
        <f t="shared" si="1"/>
        <v>5.0240088603090517E-2</v>
      </c>
      <c r="H13" s="42"/>
      <c r="I13" s="3">
        <f t="shared" si="2"/>
        <v>0.29334174840715477</v>
      </c>
      <c r="J13" s="7">
        <f t="shared" si="3"/>
        <v>16.268536130644069</v>
      </c>
      <c r="L13" s="51">
        <f t="shared" si="4"/>
        <v>6.9204152249134946E-4</v>
      </c>
      <c r="M13" s="42">
        <f t="shared" si="5"/>
        <v>5.0288814712447019E-2</v>
      </c>
    </row>
    <row r="14" spans="2:13">
      <c r="B14" s="1">
        <v>90</v>
      </c>
      <c r="C14" s="4">
        <v>0.22000000000000003</v>
      </c>
      <c r="D14" s="3">
        <f t="shared" si="0"/>
        <v>4.2884125262610207E-2</v>
      </c>
      <c r="E14" s="3"/>
      <c r="F14" s="3">
        <f>-(D13-D14)/(B13-B14)*10000-SUM(F15:$F$16)</f>
        <v>49.459081114767486</v>
      </c>
      <c r="G14" s="42">
        <f t="shared" si="1"/>
        <v>4.4804521149081254E-2</v>
      </c>
      <c r="H14" s="42"/>
      <c r="I14" s="3">
        <f t="shared" si="2"/>
        <v>0.75196416336280159</v>
      </c>
      <c r="J14" s="7">
        <f t="shared" si="3"/>
        <v>37.191456551159071</v>
      </c>
      <c r="L14" s="51">
        <f t="shared" si="4"/>
        <v>6.1728395061728394E-4</v>
      </c>
      <c r="M14" s="42">
        <f t="shared" si="5"/>
        <v>4.4856381024374038E-2</v>
      </c>
    </row>
    <row r="15" spans="2:13">
      <c r="B15" s="1">
        <v>95</v>
      </c>
      <c r="C15" s="4">
        <v>0.21000000000000002</v>
      </c>
      <c r="D15" s="3">
        <f xml:space="preserve"> 2 /$C$2 * ((B15 - $B$2) / $B$2 - LN(B15 / $B$2))</f>
        <v>1.0346355100404603E-2</v>
      </c>
      <c r="E15" s="3"/>
      <c r="F15" s="3">
        <f>-(D14-D15)/(B14-B15)*10000-SUM(F16:$F$16)</f>
        <v>44.382830123602005</v>
      </c>
      <c r="G15" s="42">
        <f t="shared" si="1"/>
        <v>4.0205992632872938E-2</v>
      </c>
      <c r="H15" s="42"/>
      <c r="I15" s="3">
        <f t="shared" si="2"/>
        <v>1.693225523282841</v>
      </c>
      <c r="J15" s="7">
        <f t="shared" si="3"/>
        <v>75.15014076080945</v>
      </c>
      <c r="L15" s="51">
        <f t="shared" ref="L15:L24" si="6">((B16-B14)/2)/B15^2</f>
        <v>5.54016620498615E-4</v>
      </c>
      <c r="M15" s="42">
        <f t="shared" si="5"/>
        <v>4.0258912609133488E-2</v>
      </c>
    </row>
    <row r="16" spans="2:13">
      <c r="B16" s="11">
        <v>100</v>
      </c>
      <c r="C16" s="16">
        <v>0.2</v>
      </c>
      <c r="D16" s="17">
        <f t="shared" ref="D16:D24" si="7" xml:space="preserve"> 2 /$C$2 * ((B16 - $B$2) / $B$2 - LN(B16 / $B$2))</f>
        <v>0</v>
      </c>
      <c r="E16" s="3"/>
      <c r="F16" s="17">
        <f>-(D15-D16)/(B15-B16)*10000</f>
        <v>20.692710200809206</v>
      </c>
      <c r="G16" s="43">
        <f t="shared" si="1"/>
        <v>1.8745333534859059E-2</v>
      </c>
      <c r="H16" s="42"/>
      <c r="I16" s="17">
        <f t="shared" si="2"/>
        <v>3.372777178991015</v>
      </c>
      <c r="J16" s="18">
        <f t="shared" si="3"/>
        <v>69.791900736763878</v>
      </c>
      <c r="L16" s="54">
        <f t="shared" si="6"/>
        <v>2.5000000000000001E-4</v>
      </c>
      <c r="M16" s="43">
        <f t="shared" si="5"/>
        <v>1.8166834314871486E-2</v>
      </c>
    </row>
    <row r="17" spans="2:13">
      <c r="B17" s="5">
        <v>100</v>
      </c>
      <c r="C17" s="8">
        <v>0.2</v>
      </c>
      <c r="D17" s="9">
        <f t="shared" si="7"/>
        <v>0</v>
      </c>
      <c r="E17" s="3"/>
      <c r="F17" s="9">
        <f>(D18-D17)/(B18-B17)*10000</f>
        <v>19.357373289087263</v>
      </c>
      <c r="G17" s="44">
        <f t="shared" si="1"/>
        <v>1.7535664257672858E-2</v>
      </c>
      <c r="H17" s="42"/>
      <c r="I17" s="9">
        <f>bscall($B$2,B17,$C$2,$D$2,$E$2,C17)</f>
        <v>4.6149971296028696</v>
      </c>
      <c r="J17" s="10">
        <f t="shared" si="3"/>
        <v>89.334222165788972</v>
      </c>
      <c r="L17" s="55">
        <f t="shared" si="6"/>
        <v>2.5000000000000001E-4</v>
      </c>
      <c r="M17" s="44">
        <f t="shared" si="5"/>
        <v>1.8166834314871486E-2</v>
      </c>
    </row>
    <row r="18" spans="2:13">
      <c r="B18" s="5">
        <v>105</v>
      </c>
      <c r="C18" s="8">
        <v>0.19</v>
      </c>
      <c r="D18" s="9">
        <f t="shared" si="7"/>
        <v>9.6786866445436326E-3</v>
      </c>
      <c r="E18" s="3"/>
      <c r="F18" s="9">
        <f>(D19-D18)/(B19-B18)*10000-SUM($F$17:F17)</f>
        <v>36.322376552626601</v>
      </c>
      <c r="G18" s="44">
        <f t="shared" si="1"/>
        <v>3.2904102780654788E-2</v>
      </c>
      <c r="H18" s="42"/>
      <c r="I18" s="9">
        <f t="shared" ref="I18:I24" si="8">bscall($B$2,B18,$C$2,$D$2,$E$2,C18)</f>
        <v>2.2886055548111202</v>
      </c>
      <c r="J18" s="10">
        <f t="shared" si="3"/>
        <v>83.127592742282417</v>
      </c>
      <c r="L18" s="55">
        <f t="shared" si="6"/>
        <v>4.5351473922902497E-4</v>
      </c>
      <c r="M18" s="44">
        <f t="shared" si="5"/>
        <v>3.295570850770338E-2</v>
      </c>
    </row>
    <row r="19" spans="2:13">
      <c r="B19" s="5">
        <v>110</v>
      </c>
      <c r="C19" s="8">
        <v>0.18</v>
      </c>
      <c r="D19" s="9">
        <f t="shared" si="7"/>
        <v>3.7518561565400566E-2</v>
      </c>
      <c r="E19" s="3"/>
      <c r="F19" s="9">
        <f>(D20-D19)/(B20-B19)*10000-SUM($F$17:F18)</f>
        <v>33.092049024946895</v>
      </c>
      <c r="G19" s="44">
        <f t="shared" si="1"/>
        <v>2.9977779145637429E-2</v>
      </c>
      <c r="H19" s="42"/>
      <c r="I19" s="9">
        <f t="shared" si="8"/>
        <v>0.90729868462335617</v>
      </c>
      <c r="J19" s="10">
        <f t="shared" si="3"/>
        <v>30.024372551825934</v>
      </c>
      <c r="L19" s="55">
        <f t="shared" si="6"/>
        <v>4.1322314049586776E-4</v>
      </c>
      <c r="M19" s="44">
        <f t="shared" si="5"/>
        <v>3.0027825313837166E-2</v>
      </c>
    </row>
    <row r="20" spans="2:13">
      <c r="B20" s="5">
        <v>115</v>
      </c>
      <c r="C20" s="8">
        <v>0.16999999999999998</v>
      </c>
      <c r="D20" s="9">
        <f t="shared" si="7"/>
        <v>8.1904460998730944E-2</v>
      </c>
      <c r="E20" s="3"/>
      <c r="F20" s="9">
        <f>(D21-D20)/(B21-B20)*10000-SUM($F$17:F19)</f>
        <v>30.274370432604059</v>
      </c>
      <c r="G20" s="44">
        <f t="shared" si="1"/>
        <v>2.7425270339640952E-2</v>
      </c>
      <c r="H20" s="42"/>
      <c r="I20" s="9">
        <f t="shared" si="8"/>
        <v>0.26699905952667979</v>
      </c>
      <c r="J20" s="10">
        <f t="shared" si="3"/>
        <v>8.083228433267605</v>
      </c>
      <c r="L20" s="55">
        <f t="shared" si="6"/>
        <v>3.7807183364839322E-4</v>
      </c>
      <c r="M20" s="44">
        <f t="shared" si="5"/>
        <v>2.7473473444040056E-2</v>
      </c>
    </row>
    <row r="21" spans="2:13">
      <c r="B21" s="5">
        <v>120</v>
      </c>
      <c r="C21" s="8">
        <v>0.15999999999999998</v>
      </c>
      <c r="D21" s="9">
        <f t="shared" si="7"/>
        <v>0.14142754564836335</v>
      </c>
      <c r="E21" s="3"/>
      <c r="F21" s="9">
        <f>(D22-D21)/(B22-B21)*10000-SUM($F$17:F20)</f>
        <v>27.801918376652253</v>
      </c>
      <c r="G21" s="44">
        <f t="shared" si="1"/>
        <v>2.5185499039120242E-2</v>
      </c>
      <c r="H21" s="42"/>
      <c r="I21" s="9">
        <f t="shared" si="8"/>
        <v>5.2853728271267553E-2</v>
      </c>
      <c r="J21" s="10">
        <f t="shared" si="3"/>
        <v>1.4694350392995381</v>
      </c>
      <c r="L21" s="55">
        <f t="shared" si="6"/>
        <v>3.4722222222222224E-4</v>
      </c>
      <c r="M21" s="44">
        <f t="shared" si="5"/>
        <v>2.5231714326210398E-2</v>
      </c>
    </row>
    <row r="22" spans="2:13">
      <c r="B22" s="5">
        <v>125</v>
      </c>
      <c r="C22" s="8">
        <v>0.14999999999999997</v>
      </c>
      <c r="D22" s="9">
        <f t="shared" si="7"/>
        <v>0.21485158948632188</v>
      </c>
      <c r="E22" s="3"/>
      <c r="F22" s="9">
        <f>(D23-D22)/(B23-B22)*10000-SUM($F$17:F21)</f>
        <v>25.620501871582036</v>
      </c>
      <c r="G22" s="44">
        <f t="shared" si="1"/>
        <v>2.3209374134786121E-2</v>
      </c>
      <c r="H22" s="42"/>
      <c r="I22" s="9">
        <f t="shared" si="8"/>
        <v>6.1581540226619547E-3</v>
      </c>
      <c r="J22" s="10">
        <f t="shared" si="3"/>
        <v>0.15777499666310105</v>
      </c>
      <c r="L22" s="55">
        <f t="shared" si="6"/>
        <v>3.2000000000000003E-4</v>
      </c>
      <c r="M22" s="44">
        <f t="shared" si="5"/>
        <v>2.3253547923035505E-2</v>
      </c>
    </row>
    <row r="23" spans="2:13">
      <c r="B23" s="5">
        <v>130</v>
      </c>
      <c r="C23" s="8">
        <v>0.13999999999999996</v>
      </c>
      <c r="D23" s="9">
        <f t="shared" si="7"/>
        <v>0.30108588426007143</v>
      </c>
      <c r="E23" s="3"/>
      <c r="F23" s="9">
        <f>(D24-D23)/(B24-B23)*10000-SUM($F$17:F22)</f>
        <v>23.686162726947117</v>
      </c>
      <c r="G23" s="44">
        <f t="shared" si="1"/>
        <v>2.1457074311136266E-2</v>
      </c>
      <c r="H23" s="42"/>
      <c r="I23" s="9">
        <f t="shared" si="8"/>
        <v>3.5086396789956592E-4</v>
      </c>
      <c r="J23" s="10">
        <f t="shared" si="3"/>
        <v>8.3106210386914674E-3</v>
      </c>
      <c r="L23" s="55">
        <f t="shared" si="6"/>
        <v>2.9585798816568048E-4</v>
      </c>
      <c r="M23" s="44">
        <f t="shared" si="5"/>
        <v>2.1499212206948504E-2</v>
      </c>
    </row>
    <row r="24" spans="2:13">
      <c r="B24" s="5">
        <v>135</v>
      </c>
      <c r="C24" s="8">
        <v>0.12999999999999995</v>
      </c>
      <c r="D24" s="9">
        <f t="shared" si="7"/>
        <v>0.39916326039729455</v>
      </c>
      <c r="E24" s="3"/>
      <c r="F24" s="53">
        <f>(D25-D24)/(B25-B24)*10000-SUM($F$17:F23)</f>
        <v>21.962940991558725</v>
      </c>
      <c r="G24" s="52">
        <f t="shared" si="1"/>
        <v>1.9896023783153183E-2</v>
      </c>
      <c r="H24" s="42"/>
      <c r="I24" s="53">
        <f t="shared" si="8"/>
        <v>7.5090746158996665E-6</v>
      </c>
      <c r="J24" s="12">
        <f t="shared" si="3"/>
        <v>1.6492136269021586E-4</v>
      </c>
      <c r="L24" s="56">
        <f t="shared" si="6"/>
        <v>2.7434842249657066E-4</v>
      </c>
      <c r="M24" s="52">
        <f t="shared" si="5"/>
        <v>1.9936169344166241E-2</v>
      </c>
    </row>
    <row r="25" spans="2:13">
      <c r="B25" s="1">
        <v>140</v>
      </c>
      <c r="D25" s="3">
        <f xml:space="preserve"> 2 /$C$2 * ((B25 - $B$2) / $B$2 - LN(B25 / $B$2))</f>
        <v>0.50822210703029702</v>
      </c>
      <c r="E25" s="3"/>
      <c r="F25" s="3"/>
      <c r="I25" s="49" t="s">
        <v>41</v>
      </c>
      <c r="J25" s="46">
        <f>SUM(J6:J24)*F2</f>
        <v>424.95514558627139</v>
      </c>
      <c r="L25" s="58">
        <f>SUMPRODUCT(I6:I24,L6:L24)*(2/C2)*F2</f>
        <v>4.2524520305937022E-2</v>
      </c>
      <c r="M25" s="50" t="s">
        <v>46</v>
      </c>
    </row>
    <row r="26" spans="2:13">
      <c r="D26" s="3"/>
      <c r="E26" s="3"/>
      <c r="F26" s="3"/>
      <c r="G26" s="48"/>
      <c r="H26" s="48"/>
      <c r="I26" s="13" t="s">
        <v>42</v>
      </c>
      <c r="J26" s="62">
        <f>2/C2*(D2*C2-(B2*F2-B2)/B2+LN(B2/B2))</f>
        <v>-6.276123250756882E-4</v>
      </c>
      <c r="L26" s="61">
        <f>(B2*F2/B2-1)^2/C2</f>
        <v>6.3286977264035327E-4</v>
      </c>
      <c r="M26" s="59" t="s">
        <v>43</v>
      </c>
    </row>
    <row r="27" spans="2:13" ht="12.5" thickBot="1">
      <c r="F27" s="49" t="s">
        <v>47</v>
      </c>
      <c r="G27" s="82" t="s">
        <v>40</v>
      </c>
      <c r="H27" s="82"/>
      <c r="I27" s="83"/>
      <c r="J27" s="57">
        <f>SQRT(J26+J25)</f>
        <v>20.614424997412524</v>
      </c>
      <c r="L27" s="45">
        <f>SQRT(L25-L26)</f>
        <v>0.20467449898142334</v>
      </c>
      <c r="M27" s="14" t="s">
        <v>48</v>
      </c>
    </row>
    <row r="28" spans="2:13" ht="12.5" thickTop="1">
      <c r="J28" s="13"/>
    </row>
  </sheetData>
  <mergeCells count="2">
    <mergeCell ref="G27:I27"/>
    <mergeCell ref="L3:M3"/>
  </mergeCells>
  <phoneticPr fontId="4"/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5</vt:i4>
      </vt:variant>
    </vt:vector>
  </HeadingPairs>
  <TitlesOfParts>
    <vt:vector size="5" baseType="lpstr">
      <vt:lpstr>1.2</vt:lpstr>
      <vt:lpstr>1.4</vt:lpstr>
      <vt:lpstr>1.6</vt:lpstr>
      <vt:lpstr>1.10</vt:lpstr>
      <vt:lpstr>1.11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K O</cp:lastModifiedBy>
  <dcterms:created xsi:type="dcterms:W3CDTF">2015-04-19T07:15:50Z</dcterms:created>
  <dcterms:modified xsi:type="dcterms:W3CDTF">2026-01-24T23:44:18Z</dcterms:modified>
</cp:coreProperties>
</file>